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OneDrive\Desktop\Code Alpha\"/>
    </mc:Choice>
  </mc:AlternateContent>
  <xr:revisionPtr revIDLastSave="0" documentId="8_{64A5487D-22B4-40DB-9E28-128ED334E289}" xr6:coauthVersionLast="47" xr6:coauthVersionMax="47" xr10:uidLastSave="{00000000-0000-0000-0000-000000000000}"/>
  <bookViews>
    <workbookView xWindow="-108" yWindow="-108" windowWidth="23256" windowHeight="13896" xr2:uid="{5D4CD3AF-307A-4560-A9A9-9B76A57EC339}"/>
  </bookViews>
  <sheets>
    <sheet name="Sheet1" sheetId="1" r:id="rId1"/>
  </sheets>
  <externalReferences>
    <externalReference r:id="rId2"/>
  </externalReferences>
  <definedNames>
    <definedName name="_xlchart.v1.0" hidden="1">[1]Data!$B$1</definedName>
    <definedName name="_xlchart.v1.1" hidden="1">[1]Data!$B$2:$B$240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" i="1" l="1"/>
  <c r="A11" i="1"/>
  <c r="A6" i="1"/>
</calcChain>
</file>

<file path=xl/sharedStrings.xml><?xml version="1.0" encoding="utf-8"?>
<sst xmlns="http://schemas.openxmlformats.org/spreadsheetml/2006/main" count="21" uniqueCount="21">
  <si>
    <t>WORLD POPULATION ANALYSIS DASHBOARD</t>
  </si>
  <si>
    <t>Total countries</t>
  </si>
  <si>
    <t>Population share Pie Chart</t>
  </si>
  <si>
    <t>Top 10 Countries Bar chart</t>
  </si>
  <si>
    <t>Total population</t>
  </si>
  <si>
    <t>Average Population</t>
  </si>
  <si>
    <t>Population Distribution Histogram</t>
  </si>
  <si>
    <t>Top 10 Pivot Table</t>
  </si>
  <si>
    <t>Row Labels</t>
  </si>
  <si>
    <t>Sum of Population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</si>
  <si>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</si>
  <si>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</si>
  <si>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</si>
  <si>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</si>
  <si>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</si>
  <si>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</si>
  <si>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</si>
  <si>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</si>
  <si>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</si>
  <si>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Mexico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</si>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</sst>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4"/>
      <name val="Calibri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rgb="FFD9EAD3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3" fillId="3" borderId="0" xfId="0" applyFont="1" applyFill="1"/>
    <xf numFmtId="0" fontId="4" fillId="5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0" borderId="0" xfId="0" applyFont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5" fillId="5" borderId="0" xfId="0" applyFont="1" applyFill="1"/>
    <xf numFmtId="0" fontId="5" fillId="0" borderId="0" xfId="0" applyFont="1"/>
    <xf numFmtId="0" fontId="4" fillId="4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pivotButton="1" applyFont="1"/>
    <xf numFmtId="0" fontId="4" fillId="4" borderId="1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Countries by Population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883179704925967"/>
          <c:y val="0.23161720169594185"/>
          <c:w val="0.47422334793475046"/>
          <c:h val="0.6474533024220778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India</c:v>
              </c:pt>
              <c:pt idx="1">
                <c:v>China</c:v>
              </c:pt>
              <c:pt idx="2">
                <c:v>United States</c:v>
              </c:pt>
              <c:pt idx="3">
                <c:v>Indonesia</c:v>
              </c:pt>
              <c:pt idx="4">
                <c:v>Pakistan</c:v>
              </c:pt>
              <c:pt idx="5">
                <c:v>Nigeria</c:v>
              </c:pt>
              <c:pt idx="6">
                <c:v>Brazil</c:v>
              </c:pt>
              <c:pt idx="7">
                <c:v>Bangladesh</c:v>
              </c:pt>
              <c:pt idx="8">
                <c:v>Russia</c:v>
              </c:pt>
              <c:pt idx="9">
                <c:v>Mexico</c:v>
              </c:pt>
            </c:strLit>
          </c:cat>
          <c:val>
            <c:numLit>
              <c:formatCode>General</c:formatCode>
              <c:ptCount val="10"/>
              <c:pt idx="0">
                <c:v>1417492000</c:v>
              </c:pt>
              <c:pt idx="1">
                <c:v>1404890000</c:v>
              </c:pt>
              <c:pt idx="2">
                <c:v>341784857</c:v>
              </c:pt>
              <c:pt idx="3">
                <c:v>288315089</c:v>
              </c:pt>
              <c:pt idx="4">
                <c:v>241499431</c:v>
              </c:pt>
              <c:pt idx="5">
                <c:v>223800000</c:v>
              </c:pt>
              <c:pt idx="6">
                <c:v>213421037</c:v>
              </c:pt>
              <c:pt idx="7">
                <c:v>169828911</c:v>
              </c:pt>
              <c:pt idx="8">
                <c:v>146028325</c:v>
              </c:pt>
              <c:pt idx="9">
                <c:v>131150866</c:v>
              </c:pt>
            </c:numLit>
          </c:val>
          <c:extLst>
            <c:ext xmlns:c16="http://schemas.microsoft.com/office/drawing/2014/chart" uri="{C3380CC4-5D6E-409C-BE32-E72D297353CC}">
              <c16:uniqueId val="{00000000-D6ED-45EF-8C6C-2FE68678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8450576"/>
        <c:axId val="428467376"/>
      </c:barChart>
      <c:catAx>
        <c:axId val="42845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67376"/>
        <c:crosses val="autoZero"/>
        <c:auto val="1"/>
        <c:lblAlgn val="ctr"/>
        <c:lblOffset val="100"/>
        <c:noMultiLvlLbl val="0"/>
      </c:catAx>
      <c:valAx>
        <c:axId val="4284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5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Population Share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4F-456F-BA1F-9A6AF8D4A0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4F-456F-BA1F-9A6AF8D4A0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4F-456F-BA1F-9A6AF8D4A0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4F-456F-BA1F-9A6AF8D4A0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4F-456F-BA1F-9A6AF8D4A0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4F-456F-BA1F-9A6AF8D4A0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4F-456F-BA1F-9A6AF8D4A0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74F-456F-BA1F-9A6AF8D4A0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74F-456F-BA1F-9A6AF8D4A0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74F-456F-BA1F-9A6AF8D4A096}"/>
              </c:ext>
            </c:extLst>
          </c:dPt>
          <c:cat>
            <c:strLit>
              <c:ptCount val="10"/>
              <c:pt idx="0">
                <c:v>India</c:v>
              </c:pt>
              <c:pt idx="1">
                <c:v>China</c:v>
              </c:pt>
              <c:pt idx="2">
                <c:v>United States</c:v>
              </c:pt>
              <c:pt idx="3">
                <c:v>Indonesia</c:v>
              </c:pt>
              <c:pt idx="4">
                <c:v>Pakistan</c:v>
              </c:pt>
              <c:pt idx="5">
                <c:v>Nigeria</c:v>
              </c:pt>
              <c:pt idx="6">
                <c:v>Brazil</c:v>
              </c:pt>
              <c:pt idx="7">
                <c:v>Bangladesh</c:v>
              </c:pt>
              <c:pt idx="8">
                <c:v>Russia</c:v>
              </c:pt>
              <c:pt idx="9">
                <c:v>Mexico</c:v>
              </c:pt>
            </c:strLit>
          </c:cat>
          <c:val>
            <c:numLit>
              <c:formatCode>General</c:formatCode>
              <c:ptCount val="10"/>
              <c:pt idx="0">
                <c:v>1417492000</c:v>
              </c:pt>
              <c:pt idx="1">
                <c:v>1404890000</c:v>
              </c:pt>
              <c:pt idx="2">
                <c:v>341784857</c:v>
              </c:pt>
              <c:pt idx="3">
                <c:v>288315089</c:v>
              </c:pt>
              <c:pt idx="4">
                <c:v>241499431</c:v>
              </c:pt>
              <c:pt idx="5">
                <c:v>223800000</c:v>
              </c:pt>
              <c:pt idx="6">
                <c:v>213421037</c:v>
              </c:pt>
              <c:pt idx="7">
                <c:v>169828911</c:v>
              </c:pt>
              <c:pt idx="8">
                <c:v>146028325</c:v>
              </c:pt>
              <c:pt idx="9">
                <c:v>131150866</c:v>
              </c:pt>
            </c:numLit>
          </c:val>
          <c:extLst>
            <c:ext xmlns:c16="http://schemas.microsoft.com/office/drawing/2014/chart" uri="{C3380CC4-5D6E-409C-BE32-E72D297353CC}">
              <c16:uniqueId val="{00000014-774F-456F-BA1F-9A6AF8D4A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Population Distribution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416F-45E2-A314-2E257394AFA1}">
          <cx:tx>
            <cx:txData>
              <cx:f>_xlchart.v1.0</cx:f>
              <cx:v>Population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5</xdr:row>
      <xdr:rowOff>45720</xdr:rowOff>
    </xdr:from>
    <xdr:to>
      <xdr:col>17</xdr:col>
      <xdr:colOff>205740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119F3-FEE9-4072-955F-3FF4D7D83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167640</xdr:colOff>
      <xdr:row>5</xdr:row>
      <xdr:rowOff>0</xdr:rowOff>
    </xdr:from>
    <xdr:to>
      <xdr:col>9</xdr:col>
      <xdr:colOff>495300</xdr:colOff>
      <xdr:row>20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1F9D85-DBCB-4620-A1A0-778CF1D85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655320</xdr:colOff>
      <xdr:row>24</xdr:row>
      <xdr:rowOff>167640</xdr:rowOff>
    </xdr:from>
    <xdr:to>
      <xdr:col>6</xdr:col>
      <xdr:colOff>312420</xdr:colOff>
      <xdr:row>41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BE5F194-06F4-4FF6-A2B1-FDEA922307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" y="4739640"/>
              <a:ext cx="4343400" cy="3261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ibh\OneDrive\Desktop\Code%20Alpha\Task1-Webscraping\world_population%20(2).csv" TargetMode="External"/><Relationship Id="rId1" Type="http://schemas.openxmlformats.org/officeDocument/2006/relationships/externalLinkPath" Target="Task1-Webscraping/world_population%20(2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Data"/>
      <sheetName val="Dashboard"/>
    </sheetNames>
    <sheetDataSet>
      <sheetData sheetId="0"/>
      <sheetData sheetId="1">
        <row r="1">
          <cell r="B1" t="str">
            <v>Population</v>
          </cell>
        </row>
        <row r="2">
          <cell r="A2" t="str">
            <v>India</v>
          </cell>
          <cell r="B2">
            <v>1417492000</v>
          </cell>
        </row>
        <row r="3">
          <cell r="A3" t="str">
            <v>China</v>
          </cell>
          <cell r="B3">
            <v>1404890000</v>
          </cell>
        </row>
        <row r="4">
          <cell r="A4" t="str">
            <v>United States</v>
          </cell>
          <cell r="B4">
            <v>341784857</v>
          </cell>
        </row>
        <row r="5">
          <cell r="A5" t="str">
            <v>Indonesia</v>
          </cell>
          <cell r="B5">
            <v>288315089</v>
          </cell>
        </row>
        <row r="6">
          <cell r="A6" t="str">
            <v>Pakistan</v>
          </cell>
          <cell r="B6">
            <v>241499431</v>
          </cell>
        </row>
        <row r="7">
          <cell r="A7" t="str">
            <v>Nigeria</v>
          </cell>
          <cell r="B7">
            <v>223800000</v>
          </cell>
        </row>
        <row r="8">
          <cell r="A8" t="str">
            <v>Brazil</v>
          </cell>
          <cell r="B8">
            <v>213421037</v>
          </cell>
        </row>
        <row r="9">
          <cell r="A9" t="str">
            <v>Bangladesh</v>
          </cell>
          <cell r="B9">
            <v>169828911</v>
          </cell>
        </row>
        <row r="10">
          <cell r="A10" t="str">
            <v>Russia</v>
          </cell>
          <cell r="B10">
            <v>146028325</v>
          </cell>
        </row>
        <row r="11">
          <cell r="A11" t="str">
            <v>Mexico</v>
          </cell>
          <cell r="B11">
            <v>131150866</v>
          </cell>
        </row>
        <row r="12">
          <cell r="A12" t="str">
            <v>Japan</v>
          </cell>
          <cell r="B12">
            <v>122810000</v>
          </cell>
        </row>
        <row r="13">
          <cell r="A13" t="str">
            <v>Philippines</v>
          </cell>
          <cell r="B13">
            <v>114123600</v>
          </cell>
        </row>
        <row r="14">
          <cell r="A14" t="str">
            <v>Democratic Republic of the Congo</v>
          </cell>
          <cell r="B14">
            <v>112832000</v>
          </cell>
        </row>
        <row r="15">
          <cell r="A15" t="str">
            <v>Ethiopia</v>
          </cell>
          <cell r="B15">
            <v>111652998</v>
          </cell>
        </row>
        <row r="16">
          <cell r="A16" t="str">
            <v>Egypt</v>
          </cell>
          <cell r="B16">
            <v>108613296</v>
          </cell>
        </row>
        <row r="17">
          <cell r="A17" t="str">
            <v>Vietnam</v>
          </cell>
          <cell r="B17">
            <v>102300000</v>
          </cell>
        </row>
        <row r="18">
          <cell r="A18" t="str">
            <v>Iran</v>
          </cell>
          <cell r="B18">
            <v>87134000</v>
          </cell>
        </row>
        <row r="19">
          <cell r="A19" t="str">
            <v>Turkey</v>
          </cell>
          <cell r="B19">
            <v>86092168</v>
          </cell>
        </row>
        <row r="20">
          <cell r="A20" t="str">
            <v>Germany</v>
          </cell>
          <cell r="B20">
            <v>83467117</v>
          </cell>
        </row>
        <row r="21">
          <cell r="A21" t="str">
            <v>United Kingdom</v>
          </cell>
          <cell r="B21">
            <v>69487000</v>
          </cell>
        </row>
        <row r="22">
          <cell r="A22" t="str">
            <v>France</v>
          </cell>
          <cell r="B22">
            <v>69081996</v>
          </cell>
        </row>
        <row r="23">
          <cell r="A23" t="str">
            <v>Tanzania</v>
          </cell>
          <cell r="B23">
            <v>68153004</v>
          </cell>
        </row>
        <row r="24">
          <cell r="A24" t="str">
            <v>Thailand</v>
          </cell>
          <cell r="B24">
            <v>65826149</v>
          </cell>
        </row>
        <row r="25">
          <cell r="A25" t="str">
            <v>South Africa</v>
          </cell>
          <cell r="B25">
            <v>63100945</v>
          </cell>
        </row>
        <row r="26">
          <cell r="A26" t="str">
            <v>Italy</v>
          </cell>
          <cell r="B26">
            <v>58936123</v>
          </cell>
        </row>
        <row r="27">
          <cell r="A27" t="str">
            <v>Kenya</v>
          </cell>
          <cell r="B27">
            <v>53330978</v>
          </cell>
        </row>
        <row r="28">
          <cell r="A28" t="str">
            <v>Colombia</v>
          </cell>
          <cell r="B28">
            <v>53057212</v>
          </cell>
        </row>
        <row r="29">
          <cell r="A29" t="str">
            <v>Sudan</v>
          </cell>
          <cell r="B29">
            <v>51662000</v>
          </cell>
        </row>
        <row r="30">
          <cell r="A30" t="str">
            <v>Myanmar</v>
          </cell>
          <cell r="B30">
            <v>51375327</v>
          </cell>
        </row>
        <row r="31">
          <cell r="A31" t="str">
            <v>South Korea</v>
          </cell>
          <cell r="B31">
            <v>51111158</v>
          </cell>
        </row>
        <row r="32">
          <cell r="A32" t="str">
            <v>Spain</v>
          </cell>
          <cell r="B32">
            <v>49687120</v>
          </cell>
        </row>
        <row r="33">
          <cell r="A33" t="str">
            <v>Algeria</v>
          </cell>
          <cell r="B33">
            <v>47400000</v>
          </cell>
        </row>
        <row r="34">
          <cell r="A34" t="str">
            <v>Argentina</v>
          </cell>
          <cell r="B34">
            <v>46387098</v>
          </cell>
        </row>
        <row r="35">
          <cell r="A35" t="str">
            <v>Iraq</v>
          </cell>
          <cell r="B35">
            <v>46118793</v>
          </cell>
        </row>
        <row r="36">
          <cell r="A36" t="str">
            <v>Uganda</v>
          </cell>
          <cell r="B36">
            <v>45905417</v>
          </cell>
        </row>
        <row r="37">
          <cell r="A37" t="str">
            <v>Afghanistan</v>
          </cell>
          <cell r="B37">
            <v>43844000</v>
          </cell>
        </row>
        <row r="38">
          <cell r="A38" t="str">
            <v>Canada</v>
          </cell>
          <cell r="B38">
            <v>41417056</v>
          </cell>
        </row>
        <row r="39">
          <cell r="A39" t="str">
            <v>Angola</v>
          </cell>
          <cell r="B39">
            <v>38778554</v>
          </cell>
        </row>
        <row r="40">
          <cell r="A40" t="str">
            <v>Uzbekistan</v>
          </cell>
          <cell r="B40">
            <v>38382685</v>
          </cell>
        </row>
        <row r="41">
          <cell r="A41" t="str">
            <v>Poland</v>
          </cell>
          <cell r="B41">
            <v>37281000</v>
          </cell>
        </row>
        <row r="42">
          <cell r="A42" t="str">
            <v>Morocco</v>
          </cell>
          <cell r="B42">
            <v>36828330</v>
          </cell>
        </row>
        <row r="43">
          <cell r="A43" t="str">
            <v>Saudi Arabia</v>
          </cell>
          <cell r="B43">
            <v>35300280</v>
          </cell>
        </row>
        <row r="44">
          <cell r="A44" t="str">
            <v>Malaysia</v>
          </cell>
          <cell r="B44">
            <v>34374300</v>
          </cell>
        </row>
        <row r="45">
          <cell r="A45" t="str">
            <v>Peru</v>
          </cell>
          <cell r="B45">
            <v>34350244</v>
          </cell>
        </row>
        <row r="46">
          <cell r="A46" t="str">
            <v>Mozambique</v>
          </cell>
          <cell r="B46">
            <v>34090466</v>
          </cell>
        </row>
        <row r="47">
          <cell r="A47" t="str">
            <v>Ghana</v>
          </cell>
          <cell r="B47">
            <v>33742380</v>
          </cell>
        </row>
        <row r="48">
          <cell r="A48" t="str">
            <v>Yemen</v>
          </cell>
          <cell r="B48">
            <v>32684503</v>
          </cell>
        </row>
        <row r="49">
          <cell r="A49" t="str">
            <v>Madagascar</v>
          </cell>
          <cell r="B49">
            <v>31727042</v>
          </cell>
        </row>
        <row r="50">
          <cell r="A50" t="str">
            <v>Ivory Coast</v>
          </cell>
          <cell r="B50">
            <v>31719275</v>
          </cell>
        </row>
        <row r="51">
          <cell r="A51" t="str">
            <v>Nepal</v>
          </cell>
          <cell r="B51">
            <v>29911840</v>
          </cell>
        </row>
        <row r="52">
          <cell r="A52" t="str">
            <v>Cameroon</v>
          </cell>
          <cell r="B52">
            <v>29442327</v>
          </cell>
        </row>
        <row r="53">
          <cell r="A53" t="str">
            <v>Ukraine</v>
          </cell>
          <cell r="B53">
            <v>28700000</v>
          </cell>
        </row>
        <row r="54">
          <cell r="A54" t="str">
            <v>Venezuela</v>
          </cell>
          <cell r="B54">
            <v>28517000</v>
          </cell>
        </row>
        <row r="55">
          <cell r="A55" t="str">
            <v>Australia</v>
          </cell>
          <cell r="B55">
            <v>27801023</v>
          </cell>
        </row>
        <row r="56">
          <cell r="A56" t="str">
            <v>Niger</v>
          </cell>
          <cell r="B56">
            <v>27522750</v>
          </cell>
        </row>
        <row r="57">
          <cell r="A57" t="str">
            <v>North Korea</v>
          </cell>
          <cell r="B57">
            <v>25950000</v>
          </cell>
        </row>
        <row r="58">
          <cell r="A58" t="str">
            <v>Syria</v>
          </cell>
          <cell r="B58">
            <v>25620427</v>
          </cell>
        </row>
        <row r="59">
          <cell r="A59" t="str">
            <v>Burkina Faso</v>
          </cell>
          <cell r="B59">
            <v>24070553</v>
          </cell>
        </row>
        <row r="60">
          <cell r="A60" t="str">
            <v>Taiwan</v>
          </cell>
          <cell r="B60">
            <v>23252641</v>
          </cell>
        </row>
        <row r="61">
          <cell r="A61" t="str">
            <v>Mali</v>
          </cell>
          <cell r="B61">
            <v>22395489</v>
          </cell>
        </row>
        <row r="62">
          <cell r="A62" t="str">
            <v>Sri Lanka</v>
          </cell>
          <cell r="B62">
            <v>21781800</v>
          </cell>
        </row>
        <row r="63">
          <cell r="A63" t="str">
            <v>Malawi</v>
          </cell>
          <cell r="B63">
            <v>20734262</v>
          </cell>
        </row>
        <row r="64">
          <cell r="A64" t="str">
            <v>Kazakhstan</v>
          </cell>
          <cell r="B64">
            <v>20562993</v>
          </cell>
        </row>
        <row r="65">
          <cell r="A65" t="str">
            <v>Chile</v>
          </cell>
          <cell r="B65">
            <v>20206953</v>
          </cell>
        </row>
        <row r="66">
          <cell r="A66" t="str">
            <v>Zambia</v>
          </cell>
          <cell r="B66">
            <v>19693423</v>
          </cell>
        </row>
        <row r="67">
          <cell r="A67" t="str">
            <v>Somalia</v>
          </cell>
          <cell r="B67">
            <v>19655000</v>
          </cell>
        </row>
        <row r="68">
          <cell r="A68" t="str">
            <v>Chad</v>
          </cell>
          <cell r="B68">
            <v>19340757</v>
          </cell>
        </row>
        <row r="69">
          <cell r="A69" t="str">
            <v>Senegal</v>
          </cell>
          <cell r="B69">
            <v>19075959</v>
          </cell>
        </row>
        <row r="70">
          <cell r="A70" t="str">
            <v>Romania</v>
          </cell>
          <cell r="B70">
            <v>19036031</v>
          </cell>
        </row>
        <row r="71">
          <cell r="A71" t="str">
            <v>Netherlands</v>
          </cell>
          <cell r="B71">
            <v>18147273</v>
          </cell>
        </row>
        <row r="72">
          <cell r="A72" t="str">
            <v>Ecuador</v>
          </cell>
          <cell r="B72">
            <v>18103660</v>
          </cell>
        </row>
        <row r="73">
          <cell r="A73" t="str">
            <v>Guatemala</v>
          </cell>
          <cell r="B73">
            <v>18312373</v>
          </cell>
        </row>
        <row r="74">
          <cell r="A74" t="str">
            <v>Cambodia</v>
          </cell>
          <cell r="B74">
            <v>17577760</v>
          </cell>
        </row>
        <row r="75">
          <cell r="A75" t="str">
            <v>Zimbabwe</v>
          </cell>
          <cell r="B75">
            <v>17073087</v>
          </cell>
        </row>
        <row r="76">
          <cell r="A76" t="str">
            <v>Guinea</v>
          </cell>
          <cell r="B76">
            <v>17521167</v>
          </cell>
        </row>
        <row r="77">
          <cell r="A77" t="str">
            <v>South Sudan</v>
          </cell>
          <cell r="B77">
            <v>15786898</v>
          </cell>
        </row>
        <row r="78">
          <cell r="A78" t="str">
            <v>Rwanda</v>
          </cell>
          <cell r="B78">
            <v>14104969</v>
          </cell>
        </row>
        <row r="79">
          <cell r="A79" t="str">
            <v>Benin</v>
          </cell>
          <cell r="B79">
            <v>13224860</v>
          </cell>
        </row>
        <row r="80">
          <cell r="A80" t="str">
            <v>Burundi</v>
          </cell>
          <cell r="B80">
            <v>12332788</v>
          </cell>
        </row>
        <row r="81">
          <cell r="A81" t="str">
            <v>Tunisia</v>
          </cell>
          <cell r="B81">
            <v>11972169</v>
          </cell>
        </row>
        <row r="82">
          <cell r="A82" t="str">
            <v>Jordan</v>
          </cell>
          <cell r="B82">
            <v>11937000</v>
          </cell>
        </row>
        <row r="83">
          <cell r="A83" t="str">
            <v>Belgium</v>
          </cell>
          <cell r="B83">
            <v>11936546</v>
          </cell>
        </row>
        <row r="84">
          <cell r="A84" t="str">
            <v>Haiti</v>
          </cell>
          <cell r="B84">
            <v>11867032</v>
          </cell>
        </row>
        <row r="85">
          <cell r="A85" t="str">
            <v>Bolivia</v>
          </cell>
          <cell r="B85">
            <v>11365333</v>
          </cell>
        </row>
        <row r="86">
          <cell r="A86" t="str">
            <v>United Arab Emirates</v>
          </cell>
          <cell r="B86">
            <v>11294243</v>
          </cell>
        </row>
        <row r="87">
          <cell r="A87" t="str">
            <v>Czech Republic</v>
          </cell>
          <cell r="B87">
            <v>10896003</v>
          </cell>
        </row>
        <row r="88">
          <cell r="A88" t="str">
            <v>Dominican Republic</v>
          </cell>
          <cell r="B88">
            <v>10771504</v>
          </cell>
        </row>
        <row r="89">
          <cell r="A89" t="str">
            <v>Portugal</v>
          </cell>
          <cell r="B89">
            <v>10749635</v>
          </cell>
        </row>
        <row r="90">
          <cell r="A90" t="str">
            <v>Tajikistan</v>
          </cell>
          <cell r="B90">
            <v>10721000</v>
          </cell>
        </row>
        <row r="91">
          <cell r="A91" t="str">
            <v>Sweden</v>
          </cell>
          <cell r="B91">
            <v>10605725</v>
          </cell>
        </row>
        <row r="92">
          <cell r="A92" t="str">
            <v>Greece</v>
          </cell>
          <cell r="B92">
            <v>10372335</v>
          </cell>
        </row>
        <row r="93">
          <cell r="A93" t="str">
            <v>Azerbaijan</v>
          </cell>
          <cell r="B93">
            <v>10266627</v>
          </cell>
        </row>
        <row r="94">
          <cell r="A94" t="str">
            <v>Israel</v>
          </cell>
          <cell r="B94">
            <v>10244000</v>
          </cell>
        </row>
        <row r="95">
          <cell r="A95" t="str">
            <v>Papua New Guinea</v>
          </cell>
          <cell r="B95">
            <v>10185363</v>
          </cell>
        </row>
        <row r="96">
          <cell r="A96" t="str">
            <v>Honduras</v>
          </cell>
          <cell r="B96">
            <v>10186738</v>
          </cell>
        </row>
        <row r="97">
          <cell r="A97" t="str">
            <v>Cuba</v>
          </cell>
          <cell r="B97">
            <v>9748007</v>
          </cell>
        </row>
        <row r="98">
          <cell r="A98" t="str">
            <v>Hungary</v>
          </cell>
          <cell r="B98">
            <v>9489000</v>
          </cell>
        </row>
        <row r="99">
          <cell r="A99" t="str">
            <v>Austria</v>
          </cell>
          <cell r="B99">
            <v>9220882</v>
          </cell>
        </row>
        <row r="100">
          <cell r="A100" t="str">
            <v>Switzerland</v>
          </cell>
          <cell r="B100">
            <v>9139676</v>
          </cell>
        </row>
        <row r="101">
          <cell r="A101" t="str">
            <v>Sierra Leone</v>
          </cell>
          <cell r="B101">
            <v>9077691</v>
          </cell>
        </row>
        <row r="102">
          <cell r="A102" t="str">
            <v>Belarus</v>
          </cell>
          <cell r="B102">
            <v>9056080</v>
          </cell>
        </row>
        <row r="103">
          <cell r="A103" t="str">
            <v>Togo</v>
          </cell>
          <cell r="B103">
            <v>8095498</v>
          </cell>
        </row>
        <row r="104">
          <cell r="A104" t="str">
            <v>Laos</v>
          </cell>
          <cell r="B104">
            <v>7647000</v>
          </cell>
        </row>
        <row r="105">
          <cell r="A105" t="str">
            <v>Hong Kong (China)</v>
          </cell>
          <cell r="B105">
            <v>7510800</v>
          </cell>
        </row>
        <row r="106">
          <cell r="A106" t="str">
            <v>Libya</v>
          </cell>
          <cell r="B106">
            <v>7459000</v>
          </cell>
        </row>
        <row r="107">
          <cell r="A107" t="str">
            <v>Kyrgyzstan</v>
          </cell>
          <cell r="B107">
            <v>7404300</v>
          </cell>
        </row>
        <row r="108">
          <cell r="A108" t="str">
            <v>Turkmenistan</v>
          </cell>
          <cell r="B108">
            <v>7057841</v>
          </cell>
        </row>
        <row r="109">
          <cell r="A109" t="str">
            <v>Nicaragua</v>
          </cell>
          <cell r="B109">
            <v>6874748</v>
          </cell>
        </row>
        <row r="110">
          <cell r="A110" t="str">
            <v>Serbia</v>
          </cell>
          <cell r="B110">
            <v>6567783</v>
          </cell>
        </row>
        <row r="111">
          <cell r="A111" t="str">
            <v>Central African Republic</v>
          </cell>
          <cell r="B111">
            <v>6470307</v>
          </cell>
        </row>
        <row r="112">
          <cell r="A112" t="str">
            <v>Bulgaria</v>
          </cell>
          <cell r="B112">
            <v>6423207</v>
          </cell>
        </row>
        <row r="113">
          <cell r="A113" t="str">
            <v>Republic of the Congo</v>
          </cell>
          <cell r="B113">
            <v>6142180</v>
          </cell>
        </row>
        <row r="114">
          <cell r="A114" t="str">
            <v>Singapore</v>
          </cell>
          <cell r="B114">
            <v>6110200</v>
          </cell>
        </row>
        <row r="115">
          <cell r="A115" t="str">
            <v>Paraguay</v>
          </cell>
          <cell r="B115">
            <v>6109644</v>
          </cell>
        </row>
        <row r="116">
          <cell r="A116" t="str">
            <v>Denmark</v>
          </cell>
          <cell r="B116">
            <v>6032963</v>
          </cell>
        </row>
        <row r="117">
          <cell r="A117" t="str">
            <v>El Salvador</v>
          </cell>
          <cell r="B117">
            <v>6029976</v>
          </cell>
        </row>
        <row r="118">
          <cell r="A118" t="str">
            <v>Finland</v>
          </cell>
          <cell r="B118">
            <v>5650152</v>
          </cell>
        </row>
        <row r="119">
          <cell r="A119" t="str">
            <v>Norway</v>
          </cell>
          <cell r="B119">
            <v>5633770</v>
          </cell>
        </row>
        <row r="120">
          <cell r="A120" t="str">
            <v>Lebanon</v>
          </cell>
          <cell r="B120">
            <v>5490000</v>
          </cell>
        </row>
        <row r="121">
          <cell r="A121" t="str">
            <v>Palestine</v>
          </cell>
          <cell r="B121">
            <v>5483450</v>
          </cell>
        </row>
        <row r="122">
          <cell r="A122" t="str">
            <v>Ireland</v>
          </cell>
          <cell r="B122">
            <v>5458600</v>
          </cell>
        </row>
        <row r="123">
          <cell r="A123" t="str">
            <v>Slovakia</v>
          </cell>
          <cell r="B123">
            <v>5405368</v>
          </cell>
        </row>
        <row r="124">
          <cell r="A124" t="str">
            <v>Oman</v>
          </cell>
          <cell r="B124">
            <v>5374651</v>
          </cell>
        </row>
        <row r="125">
          <cell r="A125" t="str">
            <v>New Zealand</v>
          </cell>
          <cell r="B125">
            <v>5361300</v>
          </cell>
        </row>
        <row r="126">
          <cell r="A126" t="str">
            <v>Liberia</v>
          </cell>
          <cell r="B126">
            <v>5248621</v>
          </cell>
        </row>
        <row r="127">
          <cell r="A127" t="str">
            <v>Costa Rica</v>
          </cell>
          <cell r="B127">
            <v>5191824</v>
          </cell>
        </row>
        <row r="128">
          <cell r="A128" t="str">
            <v>Mauritania</v>
          </cell>
          <cell r="B128">
            <v>4927532</v>
          </cell>
        </row>
        <row r="129">
          <cell r="A129" t="str">
            <v>Kuwait</v>
          </cell>
          <cell r="B129">
            <v>4881254</v>
          </cell>
        </row>
        <row r="130">
          <cell r="A130" t="str">
            <v>Panama</v>
          </cell>
          <cell r="B130">
            <v>4064780</v>
          </cell>
        </row>
        <row r="131">
          <cell r="A131" t="str">
            <v>Georgia</v>
          </cell>
          <cell r="B131">
            <v>3941100</v>
          </cell>
        </row>
        <row r="132">
          <cell r="A132" t="str">
            <v>Croatia</v>
          </cell>
          <cell r="B132">
            <v>3866233</v>
          </cell>
        </row>
        <row r="133">
          <cell r="A133" t="str">
            <v>Eritrea</v>
          </cell>
          <cell r="B133">
            <v>3607000</v>
          </cell>
        </row>
        <row r="134">
          <cell r="A134" t="str">
            <v>Mongolia</v>
          </cell>
          <cell r="B134">
            <v>3591120</v>
          </cell>
        </row>
        <row r="135">
          <cell r="A135" t="str">
            <v>Uruguay</v>
          </cell>
          <cell r="B135">
            <v>3485931</v>
          </cell>
        </row>
        <row r="136">
          <cell r="A136" t="str">
            <v>Bosnia and Herzegovina</v>
          </cell>
          <cell r="B136">
            <v>3412000</v>
          </cell>
        </row>
        <row r="137">
          <cell r="A137" t="str">
            <v>Qatar</v>
          </cell>
          <cell r="B137">
            <v>3214609</v>
          </cell>
        </row>
        <row r="138">
          <cell r="A138" t="str">
            <v>Puerto Rico (US)</v>
          </cell>
          <cell r="B138">
            <v>3184195</v>
          </cell>
        </row>
        <row r="139">
          <cell r="A139" t="str">
            <v>Armenia</v>
          </cell>
          <cell r="B139">
            <v>3096900</v>
          </cell>
        </row>
        <row r="140">
          <cell r="A140" t="str">
            <v>Namibia</v>
          </cell>
          <cell r="B140">
            <v>3022401</v>
          </cell>
        </row>
        <row r="141">
          <cell r="A141" t="str">
            <v>Lithuania</v>
          </cell>
          <cell r="B141">
            <v>2884962</v>
          </cell>
        </row>
        <row r="142">
          <cell r="A142" t="str">
            <v>Jamaica</v>
          </cell>
          <cell r="B142">
            <v>2774538</v>
          </cell>
        </row>
        <row r="143">
          <cell r="A143" t="str">
            <v>Gabon</v>
          </cell>
          <cell r="B143">
            <v>2469296</v>
          </cell>
        </row>
        <row r="144">
          <cell r="A144" t="str">
            <v>Gambia</v>
          </cell>
          <cell r="B144">
            <v>2422712</v>
          </cell>
        </row>
        <row r="145">
          <cell r="A145" t="str">
            <v>Moldova</v>
          </cell>
          <cell r="B145">
            <v>2365600</v>
          </cell>
        </row>
        <row r="146">
          <cell r="A146" t="str">
            <v>Botswana</v>
          </cell>
          <cell r="B146">
            <v>2359609</v>
          </cell>
        </row>
        <row r="147">
          <cell r="A147" t="str">
            <v>Albania</v>
          </cell>
          <cell r="B147">
            <v>2335930</v>
          </cell>
        </row>
        <row r="148">
          <cell r="A148" t="str">
            <v>Slovenia</v>
          </cell>
          <cell r="B148">
            <v>2135107</v>
          </cell>
        </row>
        <row r="149">
          <cell r="A149" t="str">
            <v>Lesotho</v>
          </cell>
          <cell r="B149">
            <v>2116427</v>
          </cell>
        </row>
        <row r="150">
          <cell r="A150" t="str">
            <v>Guinea-Bissau</v>
          </cell>
          <cell r="B150">
            <v>1852784</v>
          </cell>
        </row>
        <row r="151">
          <cell r="A151" t="str">
            <v>Latvia</v>
          </cell>
          <cell r="B151">
            <v>1835200</v>
          </cell>
        </row>
        <row r="152">
          <cell r="A152" t="str">
            <v>North Macedonia</v>
          </cell>
          <cell r="B152">
            <v>1822612</v>
          </cell>
        </row>
        <row r="153">
          <cell r="A153" t="str">
            <v>Equatorial Guinea</v>
          </cell>
          <cell r="B153">
            <v>1668768</v>
          </cell>
        </row>
        <row r="154">
          <cell r="A154" t="str">
            <v>Bahrain</v>
          </cell>
          <cell r="B154">
            <v>1603260</v>
          </cell>
        </row>
        <row r="155">
          <cell r="A155" t="str">
            <v>Kosovo</v>
          </cell>
          <cell r="B155">
            <v>1585566</v>
          </cell>
        </row>
        <row r="156">
          <cell r="A156" t="str">
            <v>Timor-Leste</v>
          </cell>
          <cell r="B156">
            <v>1391221</v>
          </cell>
        </row>
        <row r="157">
          <cell r="A157" t="str">
            <v>Trinidad and Tobago</v>
          </cell>
          <cell r="B157">
            <v>1367764</v>
          </cell>
        </row>
        <row r="158">
          <cell r="A158" t="str">
            <v>Estonia</v>
          </cell>
          <cell r="B158">
            <v>1360745</v>
          </cell>
        </row>
        <row r="159">
          <cell r="A159" t="str">
            <v>Mauritius</v>
          </cell>
          <cell r="B159">
            <v>1241856</v>
          </cell>
        </row>
        <row r="160">
          <cell r="A160" t="str">
            <v>Eswatini</v>
          </cell>
          <cell r="B160">
            <v>1235549</v>
          </cell>
        </row>
        <row r="161">
          <cell r="A161" t="str">
            <v>Djibouti</v>
          </cell>
          <cell r="B161">
            <v>1066809</v>
          </cell>
        </row>
        <row r="162">
          <cell r="A162" t="str">
            <v>Cyprus</v>
          </cell>
          <cell r="B162">
            <v>983000</v>
          </cell>
        </row>
        <row r="163">
          <cell r="A163" t="str">
            <v>Guyana</v>
          </cell>
          <cell r="B163">
            <v>956044</v>
          </cell>
        </row>
        <row r="164">
          <cell r="A164" t="str">
            <v>Comoros</v>
          </cell>
          <cell r="B164">
            <v>944388</v>
          </cell>
        </row>
        <row r="165">
          <cell r="A165" t="str">
            <v>Fiji</v>
          </cell>
          <cell r="B165">
            <v>902623</v>
          </cell>
        </row>
        <row r="166">
          <cell r="A166" t="str">
            <v>Bhutan</v>
          </cell>
          <cell r="B166">
            <v>784043</v>
          </cell>
        </row>
        <row r="167">
          <cell r="A167" t="str">
            <v>Solomon Islands</v>
          </cell>
          <cell r="B167">
            <v>750325</v>
          </cell>
        </row>
        <row r="168">
          <cell r="A168" t="str">
            <v>Luxembourg</v>
          </cell>
          <cell r="B168">
            <v>690959</v>
          </cell>
        </row>
        <row r="169">
          <cell r="A169" t="str">
            <v>Macau (China)</v>
          </cell>
          <cell r="B169">
            <v>688100</v>
          </cell>
        </row>
        <row r="170">
          <cell r="A170" t="str">
            <v>Montenegro</v>
          </cell>
          <cell r="B170">
            <v>622902</v>
          </cell>
        </row>
        <row r="171">
          <cell r="A171" t="str">
            <v>Suriname</v>
          </cell>
          <cell r="B171">
            <v>616500</v>
          </cell>
        </row>
        <row r="172">
          <cell r="A172" t="str">
            <v>Western Sahara (disputed)</v>
          </cell>
          <cell r="B172">
            <v>600904</v>
          </cell>
        </row>
        <row r="173">
          <cell r="A173" t="str">
            <v>Malta</v>
          </cell>
          <cell r="B173">
            <v>574250</v>
          </cell>
        </row>
        <row r="174">
          <cell r="A174" t="str">
            <v>Maldives</v>
          </cell>
          <cell r="B174">
            <v>515132</v>
          </cell>
        </row>
        <row r="175">
          <cell r="A175" t="str">
            <v>Cape Verde</v>
          </cell>
          <cell r="B175">
            <v>491233</v>
          </cell>
        </row>
        <row r="176">
          <cell r="A176" t="str">
            <v>Northern Cyprus</v>
          </cell>
          <cell r="B176">
            <v>476214</v>
          </cell>
        </row>
        <row r="177">
          <cell r="A177" t="str">
            <v>Brunei</v>
          </cell>
          <cell r="B177">
            <v>458600</v>
          </cell>
        </row>
        <row r="178">
          <cell r="A178" t="str">
            <v>Belize</v>
          </cell>
          <cell r="B178">
            <v>417634</v>
          </cell>
        </row>
        <row r="179">
          <cell r="A179" t="str">
            <v>Bahamas</v>
          </cell>
          <cell r="B179">
            <v>398165</v>
          </cell>
        </row>
        <row r="180">
          <cell r="A180" t="str">
            <v>Iceland</v>
          </cell>
          <cell r="B180">
            <v>395050</v>
          </cell>
        </row>
        <row r="181">
          <cell r="A181" t="str">
            <v>Transnistria</v>
          </cell>
          <cell r="B181">
            <v>367776</v>
          </cell>
        </row>
        <row r="182">
          <cell r="A182" t="str">
            <v>Vanuatu</v>
          </cell>
          <cell r="B182">
            <v>321409</v>
          </cell>
        </row>
        <row r="183">
          <cell r="A183" t="str">
            <v>French Polynesia (France)</v>
          </cell>
          <cell r="B183">
            <v>279500</v>
          </cell>
        </row>
        <row r="184">
          <cell r="A184" t="str">
            <v>New Caledonia (France)</v>
          </cell>
          <cell r="B184">
            <v>264596</v>
          </cell>
        </row>
        <row r="185">
          <cell r="A185" t="str">
            <v>Barbados</v>
          </cell>
          <cell r="B185">
            <v>261692</v>
          </cell>
        </row>
        <row r="186">
          <cell r="A186" t="str">
            <v>Abkhazia</v>
          </cell>
          <cell r="B186">
            <v>244236</v>
          </cell>
        </row>
        <row r="187">
          <cell r="A187" t="str">
            <v>SÃ£o TomÃ© and PrÃ­ncipe</v>
          </cell>
          <cell r="B187">
            <v>209607</v>
          </cell>
        </row>
        <row r="188">
          <cell r="A188" t="str">
            <v>Samoa</v>
          </cell>
          <cell r="B188">
            <v>205557</v>
          </cell>
        </row>
        <row r="189">
          <cell r="A189" t="str">
            <v>Saint Lucia</v>
          </cell>
          <cell r="B189">
            <v>184100</v>
          </cell>
        </row>
        <row r="190">
          <cell r="A190" t="str">
            <v>CuraÃ§ao (Netherlands)</v>
          </cell>
          <cell r="B190">
            <v>156115</v>
          </cell>
        </row>
        <row r="191">
          <cell r="A191" t="str">
            <v>Guam (US)</v>
          </cell>
          <cell r="B191">
            <v>153836</v>
          </cell>
        </row>
        <row r="192">
          <cell r="A192" t="str">
            <v>Seychelles</v>
          </cell>
          <cell r="B192">
            <v>123097</v>
          </cell>
        </row>
        <row r="193">
          <cell r="A193" t="str">
            <v>Kiribati</v>
          </cell>
          <cell r="B193">
            <v>120740</v>
          </cell>
        </row>
        <row r="194">
          <cell r="A194" t="str">
            <v>Aruba (Netherlands)</v>
          </cell>
          <cell r="B194">
            <v>110625</v>
          </cell>
        </row>
        <row r="195">
          <cell r="A195" t="str">
            <v>Saint Vincent and the Grenadines</v>
          </cell>
          <cell r="B195">
            <v>109296</v>
          </cell>
        </row>
        <row r="196">
          <cell r="A196" t="str">
            <v>Grenada</v>
          </cell>
          <cell r="B196">
            <v>109021</v>
          </cell>
        </row>
        <row r="197">
          <cell r="A197" t="str">
            <v>Antigua and Barbuda</v>
          </cell>
          <cell r="B197">
            <v>103603</v>
          </cell>
        </row>
        <row r="198">
          <cell r="A198" t="str">
            <v>Jersey (UK)</v>
          </cell>
          <cell r="B198">
            <v>103267</v>
          </cell>
        </row>
        <row r="199">
          <cell r="A199" t="str">
            <v>Tonga</v>
          </cell>
          <cell r="B199">
            <v>100179</v>
          </cell>
        </row>
        <row r="200">
          <cell r="A200" t="str">
            <v>Andorra</v>
          </cell>
          <cell r="B200">
            <v>89484</v>
          </cell>
        </row>
        <row r="201">
          <cell r="A201" t="str">
            <v>Cayman Islands (UK)</v>
          </cell>
          <cell r="B201">
            <v>88833</v>
          </cell>
        </row>
        <row r="202">
          <cell r="A202" t="str">
            <v>U.S. Virgin Islands (US)</v>
          </cell>
          <cell r="B202">
            <v>87146</v>
          </cell>
        </row>
        <row r="203">
          <cell r="A203" t="str">
            <v>Isle of Man (UK)</v>
          </cell>
          <cell r="B203">
            <v>84975</v>
          </cell>
        </row>
        <row r="204">
          <cell r="A204" t="str">
            <v>Micronesia</v>
          </cell>
          <cell r="B204">
            <v>75817</v>
          </cell>
        </row>
        <row r="205">
          <cell r="A205" t="str">
            <v>Dominica</v>
          </cell>
          <cell r="B205">
            <v>71946</v>
          </cell>
        </row>
        <row r="206">
          <cell r="A206" t="str">
            <v>Guernsey (UK)</v>
          </cell>
          <cell r="B206">
            <v>64781</v>
          </cell>
        </row>
        <row r="207">
          <cell r="A207" t="str">
            <v>Bermuda (UK)</v>
          </cell>
          <cell r="B207">
            <v>64055</v>
          </cell>
        </row>
        <row r="208">
          <cell r="A208" t="str">
            <v>Greenland (Denmark)</v>
          </cell>
          <cell r="B208">
            <v>56740</v>
          </cell>
        </row>
        <row r="209">
          <cell r="A209" t="str">
            <v>South Ossetia</v>
          </cell>
          <cell r="B209">
            <v>56520</v>
          </cell>
        </row>
        <row r="210">
          <cell r="A210" t="str">
            <v>Faroe Islands (Denmark)</v>
          </cell>
          <cell r="B210">
            <v>55348</v>
          </cell>
        </row>
        <row r="211">
          <cell r="A211" t="str">
            <v>Saint Kitts and Nevis</v>
          </cell>
          <cell r="B211">
            <v>51320</v>
          </cell>
        </row>
        <row r="212">
          <cell r="A212" t="str">
            <v>Turks and Caicos Islands (UK)</v>
          </cell>
          <cell r="B212">
            <v>50828</v>
          </cell>
        </row>
        <row r="213">
          <cell r="A213" t="str">
            <v>American Samoa (US)</v>
          </cell>
          <cell r="B213">
            <v>49710</v>
          </cell>
        </row>
        <row r="214">
          <cell r="A214" t="str">
            <v>Northern Mariana Islands (US)</v>
          </cell>
          <cell r="B214">
            <v>47329</v>
          </cell>
        </row>
        <row r="215">
          <cell r="A215" t="str">
            <v>Marshall Islands</v>
          </cell>
          <cell r="B215">
            <v>42418</v>
          </cell>
        </row>
        <row r="216">
          <cell r="A216" t="str">
            <v>Sint Maarten (Netherlands)</v>
          </cell>
          <cell r="B216">
            <v>41349</v>
          </cell>
        </row>
        <row r="217">
          <cell r="A217" t="str">
            <v>Liechtenstein</v>
          </cell>
          <cell r="B217">
            <v>41237</v>
          </cell>
        </row>
        <row r="218">
          <cell r="A218" t="str">
            <v>British Virgin Islands (UK)</v>
          </cell>
          <cell r="B218">
            <v>39471</v>
          </cell>
        </row>
        <row r="219">
          <cell r="A219" t="str">
            <v>Monaco</v>
          </cell>
          <cell r="B219">
            <v>38857</v>
          </cell>
        </row>
        <row r="220">
          <cell r="A220" t="str">
            <v>Gibraltar (UK)</v>
          </cell>
          <cell r="B220">
            <v>38196</v>
          </cell>
        </row>
        <row r="221">
          <cell r="A221" t="str">
            <v>San Marino</v>
          </cell>
          <cell r="B221">
            <v>34159</v>
          </cell>
        </row>
        <row r="222">
          <cell r="A222" t="str">
            <v>Saint Martin (France)</v>
          </cell>
          <cell r="B222">
            <v>31496</v>
          </cell>
        </row>
        <row r="223">
          <cell r="A223" t="str">
            <v>Palau</v>
          </cell>
          <cell r="B223">
            <v>16733</v>
          </cell>
        </row>
        <row r="224">
          <cell r="A224" t="str">
            <v>Anguilla (UK)</v>
          </cell>
          <cell r="B224">
            <v>16010</v>
          </cell>
        </row>
        <row r="225">
          <cell r="A225" t="str">
            <v>Cook Islands (New Zealand)</v>
          </cell>
          <cell r="B225">
            <v>15040</v>
          </cell>
        </row>
        <row r="226">
          <cell r="A226" t="str">
            <v>Nauru</v>
          </cell>
          <cell r="B226">
            <v>11680</v>
          </cell>
        </row>
        <row r="227">
          <cell r="A227" t="str">
            <v>Wallis and Futuna (France)</v>
          </cell>
          <cell r="B227">
            <v>11620</v>
          </cell>
        </row>
        <row r="228">
          <cell r="A228" t="str">
            <v>Tuvalu</v>
          </cell>
          <cell r="B228">
            <v>10643</v>
          </cell>
        </row>
        <row r="229">
          <cell r="A229" t="str">
            <v>Saint BarthÃ©lemy (France)</v>
          </cell>
          <cell r="B229">
            <v>10562</v>
          </cell>
        </row>
        <row r="230">
          <cell r="A230" t="str">
            <v>Saint Pierre and Miquelon (France)</v>
          </cell>
          <cell r="B230">
            <v>5819</v>
          </cell>
        </row>
        <row r="231">
          <cell r="A231" t="str">
            <v>Saint Helena, Ascension and Tristan da Cunha (UK)</v>
          </cell>
          <cell r="B231">
            <v>5651</v>
          </cell>
        </row>
        <row r="232">
          <cell r="A232" t="str">
            <v>Montserrat (UK)</v>
          </cell>
          <cell r="B232">
            <v>4386</v>
          </cell>
        </row>
        <row r="233">
          <cell r="A233" t="str">
            <v>Falkland Islands (UK)</v>
          </cell>
          <cell r="B233">
            <v>3662</v>
          </cell>
        </row>
        <row r="234">
          <cell r="A234" t="str">
            <v>Tokelau (New Zealand)</v>
          </cell>
          <cell r="B234">
            <v>2608</v>
          </cell>
        </row>
        <row r="235">
          <cell r="A235" t="str">
            <v>Norfolk Island (Australia)</v>
          </cell>
          <cell r="B235">
            <v>2188</v>
          </cell>
        </row>
        <row r="236">
          <cell r="A236" t="str">
            <v>Christmas Island (Australia)</v>
          </cell>
          <cell r="B236">
            <v>1692</v>
          </cell>
        </row>
        <row r="237">
          <cell r="A237" t="str">
            <v>Niue (New Zealand)</v>
          </cell>
          <cell r="B237">
            <v>1681</v>
          </cell>
        </row>
        <row r="238">
          <cell r="A238" t="str">
            <v>Vatican City</v>
          </cell>
          <cell r="B238">
            <v>882</v>
          </cell>
        </row>
        <row r="239">
          <cell r="A239" t="str">
            <v>Cocos (Keeling) Islands (Australia)</v>
          </cell>
          <cell r="B239">
            <v>593</v>
          </cell>
        </row>
        <row r="240">
          <cell r="A240" t="str">
            <v>Pitcairn Islands (UK)</v>
          </cell>
          <cell r="B240">
            <v>35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ask1-Webscraping/world_population%20(2)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 Bheemarao" refreshedDate="46217.406846180558" createdVersion="8" refreshedVersion="8" minRefreshableVersion="3" recordCount="239" xr:uid="{41B3B2DC-FAA4-4BE6-A5C1-ED5549DAC312}">
  <cacheSource type="worksheet">
    <worksheetSource ref="A1:F240" sheet="Data" r:id="rId2"/>
  </cacheSource>
  <cacheFields count="6">
    <cacheField name="Location" numFmtId="0">
      <sharedItems count="239">
        <s v="India"/>
        <s v="China"/>
        <s v="United States"/>
        <s v="Indonesia"/>
        <s v="Pakistan"/>
        <s v="Nigeria"/>
        <s v="Brazil"/>
        <s v="Bangladesh"/>
        <s v="Russia"/>
        <s v="Mexico"/>
        <s v="Japan"/>
        <s v="Philippines"/>
        <s v="Democratic Republic of the Congo"/>
        <s v="Ethiopia"/>
        <s v="Egypt"/>
        <s v="Vietnam"/>
        <s v="Iran"/>
        <s v="Turkey"/>
        <s v="Germany"/>
        <s v="United Kingdom"/>
        <s v="France"/>
        <s v="Tanzania"/>
        <s v="Thailand"/>
        <s v="South Africa"/>
        <s v="Italy"/>
        <s v="Kenya"/>
        <s v="Colombia"/>
        <s v="Sudan"/>
        <s v="Myanmar"/>
        <s v="South Korea"/>
        <s v="Spain"/>
        <s v="Algeria"/>
        <s v="Argentina"/>
        <s v="Iraq"/>
        <s v="Uganda"/>
        <s v="Afghanistan"/>
        <s v="Canada"/>
        <s v="Angola"/>
        <s v="Uzbekistan"/>
        <s v="Poland"/>
        <s v="Morocco"/>
        <s v="Saudi Arabia"/>
        <s v="Malaysia"/>
        <s v="Peru"/>
        <s v="Mozambique"/>
        <s v="Ghana"/>
        <s v="Yemen"/>
        <s v="Madagascar"/>
        <s v="Ivory Coast"/>
        <s v="Nepal"/>
        <s v="Cameroon"/>
        <s v="Ukraine"/>
        <s v="Venezuela"/>
        <s v="Australia"/>
        <s v="Niger"/>
        <s v="North Korea"/>
        <s v="Syria"/>
        <s v="Burkina Faso"/>
        <s v="Taiwan"/>
        <s v="Mali"/>
        <s v="Sri Lanka"/>
        <s v="Malawi"/>
        <s v="Kazakhstan"/>
        <s v="Chile"/>
        <s v="Zambia"/>
        <s v="Somalia"/>
        <s v="Chad"/>
        <s v="Senegal"/>
        <s v="Romania"/>
        <s v="Netherlands"/>
        <s v="Ecuador"/>
        <s v="Guatemala"/>
        <s v="Cambodia"/>
        <s v="Zimbabwe"/>
        <s v="Guinea"/>
        <s v="South Sudan"/>
        <s v="Rwanda"/>
        <s v="Benin"/>
        <s v="Burundi"/>
        <s v="Tunisia"/>
        <s v="Jordan"/>
        <s v="Belgium"/>
        <s v="Haiti"/>
        <s v="Bolivia"/>
        <s v="United Arab Emirates"/>
        <s v="Czech Republic"/>
        <s v="Dominican Republic"/>
        <s v="Portugal"/>
        <s v="Tajikistan"/>
        <s v="Sweden"/>
        <s v="Greece"/>
        <s v="Azerbaijan"/>
        <s v="Israel"/>
        <s v="Papua New Guinea"/>
        <s v="Honduras"/>
        <s v="Cuba"/>
        <s v="Hungary"/>
        <s v="Austria"/>
        <s v="Switzerland"/>
        <s v="Sierra Leone"/>
        <s v="Belarus"/>
        <s v="Togo"/>
        <s v="Laos"/>
        <s v="Hong Kong (China)"/>
        <s v="Libya"/>
        <s v="Kyrgyzstan"/>
        <s v="Turkmenistan"/>
        <s v="Nicaragua"/>
        <s v="Serbia"/>
        <s v="Central African Republic"/>
        <s v="Bulgaria"/>
        <s v="Republic of the Congo"/>
        <s v="Singapore"/>
        <s v="Paraguay"/>
        <s v="Denmark"/>
        <s v="El Salvador"/>
        <s v="Finland"/>
        <s v="Norway"/>
        <s v="Lebanon"/>
        <s v="Palestine"/>
        <s v="Ireland"/>
        <s v="Slovakia"/>
        <s v="Oman"/>
        <s v="New Zealand"/>
        <s v="Liberia"/>
        <s v="Costa Rica"/>
        <s v="Mauritania"/>
        <s v="Kuwait"/>
        <s v="Panama"/>
        <s v="Georgia"/>
        <s v="Croatia"/>
        <s v="Eritrea"/>
        <s v="Mongolia"/>
        <s v="Uruguay"/>
        <s v="Bosnia and Herzegovina"/>
        <s v="Qatar"/>
        <s v="Puerto Rico (US)"/>
        <s v="Armenia"/>
        <s v="Namibia"/>
        <s v="Lithuania"/>
        <s v="Jamaica"/>
        <s v="Gabon"/>
        <s v="Gambia"/>
        <s v="Moldova"/>
        <s v="Botswana"/>
        <s v="Albania"/>
        <s v="Slovenia"/>
        <s v="Lesotho"/>
        <s v="Guinea-Bissau"/>
        <s v="Latvia"/>
        <s v="North Macedonia"/>
        <s v="Equatorial Guinea"/>
        <s v="Bahrain"/>
        <s v="Kosovo"/>
        <s v="Timor-Leste"/>
        <s v="Trinidad and Tobago"/>
        <s v="Estonia"/>
        <s v="Mauritius"/>
        <s v="Eswatini"/>
        <s v="Djibouti"/>
        <s v="Cyprus"/>
        <s v="Guyana"/>
        <s v="Comoros"/>
        <s v="Fiji"/>
        <s v="Bhutan"/>
        <s v="Solomon Islands"/>
        <s v="Luxembourg"/>
        <s v="Macau (China)"/>
        <s v="Montenegro"/>
        <s v="Suriname"/>
        <s v="Western Sahara (disputed)"/>
        <s v="Malta"/>
        <s v="Maldives"/>
        <s v="Cape Verde"/>
        <s v="Northern Cyprus"/>
        <s v="Brunei"/>
        <s v="Belize"/>
        <s v="Bahamas"/>
        <s v="Iceland"/>
        <s v="Transnistria"/>
        <s v="Vanuatu"/>
        <s v="French Polynesia (France)"/>
        <s v="New Caledonia (France)"/>
        <s v="Barbados"/>
        <s v="Abkhazia"/>
        <s v="SÃ£o TomÃ© and PrÃ­ncipe"/>
        <s v="Samoa"/>
        <s v="Saint Lucia"/>
        <s v="CuraÃ§ao (Netherlands)"/>
        <s v="Guam (US)"/>
        <s v="Seychelles"/>
        <s v="Kiribati"/>
        <s v="Aruba (Netherlands)"/>
        <s v="Saint Vincent and the Grenadines"/>
        <s v="Grenada"/>
        <s v="Antigua and Barbuda"/>
        <s v="Jersey (UK)"/>
        <s v="Tonga"/>
        <s v="Andorra"/>
        <s v="Cayman Islands (UK)"/>
        <s v="U.S. Virgin Islands (US)"/>
        <s v="Isle of Man (UK)"/>
        <s v="Micronesia"/>
        <s v="Dominica"/>
        <s v="Guernsey (UK)"/>
        <s v="Bermuda (UK)"/>
        <s v="Greenland (Denmark)"/>
        <s v="South Ossetia"/>
        <s v="Faroe Islands (Denmark)"/>
        <s v="Saint Kitts and Nevis"/>
        <s v="Turks and Caicos Islands (UK)"/>
        <s v="American Samoa (US)"/>
        <s v="Northern Mariana Islands (US)"/>
        <s v="Marshall Islands"/>
        <s v="Sint Maarten (Netherlands)"/>
        <s v="Liechtenstein"/>
        <s v="British Virgin Islands (UK)"/>
        <s v="Monaco"/>
        <s v="Gibraltar (UK)"/>
        <s v="San Marino"/>
        <s v="Saint Martin (France)"/>
        <s v="Palau"/>
        <s v="Anguilla (UK)"/>
        <s v="Cook Islands (New Zealand)"/>
        <s v="Nauru"/>
        <s v="Wallis and Futuna (France)"/>
        <s v="Tuvalu"/>
        <s v="Saint BarthÃ©lemy (France)"/>
        <s v="Saint Pierre and Miquelon (France)"/>
        <s v="Saint Helena, Ascension and Tristan da Cunha (UK)"/>
        <s v="Montserrat (UK)"/>
        <s v="Falkland Islands (UK)"/>
        <s v="Tokelau (New Zealand)"/>
        <s v="Norfolk Island (Australia)"/>
        <s v="Christmas Island (Australia)"/>
        <s v="Niue (New Zealand)"/>
        <s v="Vatican City"/>
        <s v="Cocos (Keeling) Islands (Australia)"/>
        <s v="Pitcairn Islands (UK)"/>
      </sharedItems>
    </cacheField>
    <cacheField name="Population" numFmtId="0">
      <sharedItems containsSemiMixedTypes="0" containsString="0" containsNumber="1" containsInteger="1" minValue="35" maxValue="1417492000"/>
    </cacheField>
    <cacheField name="% of world" numFmtId="0">
      <sharedItems containsMixedTypes="1" containsNumber="1" containsInteger="1" minValue="0" maxValue="0"/>
    </cacheField>
    <cacheField name="Date" numFmtId="0">
      <sharedItems containsSemiMixedTypes="0" containsDate="1" containsString="0" containsMixedTypes="1" minDate="2020-04-01T00:00:00" maxDate="2026-05-01T00:00:00"/>
    </cacheField>
    <cacheField name="Source (official or from the United Nations)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n v="1417492000"/>
    <s v="17.2%"/>
    <d v="2025-07-01T00:00:00"/>
    <s v="Official projection[4]"/>
    <s v="[b]"/>
  </r>
  <r>
    <x v="1"/>
    <n v="1404890000"/>
    <s v="17.0%"/>
    <d v="2025-12-31T00:00:00"/>
    <s v="Official estimate[5]"/>
    <s v="[c]"/>
  </r>
  <r>
    <x v="2"/>
    <n v="341784857"/>
    <s v="4.1%"/>
    <d v="2025-07-01T00:00:00"/>
    <s v="Official estimate[6]"/>
    <s v="[d]"/>
  </r>
  <r>
    <x v="3"/>
    <n v="288315089"/>
    <s v="3.5%"/>
    <d v="2025-12-31T00:00:00"/>
    <s v="National annual projection[7]"/>
    <m/>
  </r>
  <r>
    <x v="4"/>
    <n v="241499431"/>
    <s v="2.9%"/>
    <d v="2023-03-01T00:00:00"/>
    <s v="2023 census result[8]"/>
    <s v="[e]"/>
  </r>
  <r>
    <x v="5"/>
    <n v="223800000"/>
    <s v="2.7%"/>
    <d v="2023-07-01T00:00:00"/>
    <s v="Official projection[9]"/>
    <m/>
  </r>
  <r>
    <x v="6"/>
    <n v="213421037"/>
    <s v="2.6%"/>
    <d v="2025-07-01T00:00:00"/>
    <s v="Official estimate[10]"/>
    <m/>
  </r>
  <r>
    <x v="7"/>
    <n v="169828911"/>
    <s v="2.1%"/>
    <d v="2022-06-14T00:00:00"/>
    <s v="2022 census result[11]"/>
    <s v="[f]"/>
  </r>
  <r>
    <x v="8"/>
    <n v="146028325"/>
    <s v="1.8%"/>
    <d v="2025-01-01T00:00:00"/>
    <s v="Official estimate[13]"/>
    <s v="[g]"/>
  </r>
  <r>
    <x v="9"/>
    <n v="131150866"/>
    <s v="1.6%"/>
    <d v="2026-03-31T00:00:00"/>
    <s v="National quarterly estimate[14]"/>
    <m/>
  </r>
  <r>
    <x v="10"/>
    <n v="122810000"/>
    <s v="1.5%"/>
    <d v="2026-05-01T00:00:00"/>
    <s v="Monthly national estimate[15]"/>
    <m/>
  </r>
  <r>
    <x v="11"/>
    <n v="114123600"/>
    <s v="1.4%"/>
    <d v="2025-07-01T00:00:00"/>
    <s v="Official projection[16]"/>
    <m/>
  </r>
  <r>
    <x v="12"/>
    <n v="112832000"/>
    <s v="1.4%"/>
    <d v="2025-07-01T00:00:00"/>
    <s v="UN projection[17]"/>
    <m/>
  </r>
  <r>
    <x v="13"/>
    <n v="111652998"/>
    <s v="1.4%"/>
    <d v="2025-07-01T00:00:00"/>
    <s v="National annual projection[18]"/>
    <m/>
  </r>
  <r>
    <x v="14"/>
    <n v="108613296"/>
    <s v="1.3%"/>
    <d v="2026-01-01T00:00:00"/>
    <s v="Official estimate[19]"/>
    <m/>
  </r>
  <r>
    <x v="15"/>
    <n v="102300000"/>
    <s v="1.2%"/>
    <d v="2025-12-31T00:00:00"/>
    <s v="Official estimate[20]"/>
    <m/>
  </r>
  <r>
    <x v="16"/>
    <n v="87134000"/>
    <s v="1.1%"/>
    <d v="2026-03-21T00:00:00"/>
    <s v="Official estimate[21]"/>
    <m/>
  </r>
  <r>
    <x v="17"/>
    <n v="86092168"/>
    <s v="1.0%"/>
    <d v="2025-12-31T00:00:00"/>
    <s v="Official estimate[22]"/>
    <m/>
  </r>
  <r>
    <x v="18"/>
    <n v="83467117"/>
    <s v="1.0%"/>
    <d v="2025-12-31T00:00:00"/>
    <s v="National quarterly estimate[23]"/>
    <m/>
  </r>
  <r>
    <x v="19"/>
    <n v="69487000"/>
    <s v="0.8%"/>
    <d v="2025-06-30T00:00:00"/>
    <s v="Official estimate[24]"/>
    <s v="[h]"/>
  </r>
  <r>
    <x v="20"/>
    <n v="69081996"/>
    <s v="0.8%"/>
    <d v="2026-01-01T00:00:00"/>
    <s v="Yearly national estimate[25]"/>
    <s v="[i]"/>
  </r>
  <r>
    <x v="21"/>
    <n v="68153004"/>
    <s v="0.8%"/>
    <d v="2025-07-01T00:00:00"/>
    <s v="Official projection[26]"/>
    <s v="[j]"/>
  </r>
  <r>
    <x v="22"/>
    <n v="65826149"/>
    <s v="0.8%"/>
    <d v="2025-11-30T00:00:00"/>
    <s v="Monthly national estimate[27]"/>
    <m/>
  </r>
  <r>
    <x v="23"/>
    <n v="63100945"/>
    <s v="0.8%"/>
    <d v="2025-06-30T00:00:00"/>
    <s v="Official estimate[28]"/>
    <m/>
  </r>
  <r>
    <x v="24"/>
    <n v="58936123"/>
    <s v="0.7%"/>
    <d v="2026-03-31T00:00:00"/>
    <s v="Monthly national estimate[29]"/>
    <m/>
  </r>
  <r>
    <x v="25"/>
    <n v="53330978"/>
    <s v="0.6%"/>
    <d v="2025-07-01T00:00:00"/>
    <s v="Official projection[30]"/>
    <m/>
  </r>
  <r>
    <x v="26"/>
    <n v="53057212"/>
    <s v="0.6%"/>
    <d v="2025-01-01T00:00:00"/>
    <s v="Official projection[31]"/>
    <m/>
  </r>
  <r>
    <x v="27"/>
    <n v="51662000"/>
    <s v="0.6%"/>
    <d v="2025-07-01T00:00:00"/>
    <s v="UN projection[32]"/>
    <m/>
  </r>
  <r>
    <x v="28"/>
    <n v="51375327"/>
    <s v="0.6%"/>
    <d v="2024-10-15T00:00:00"/>
    <s v="2024 census result[33]"/>
    <s v="[k]"/>
  </r>
  <r>
    <x v="29"/>
    <n v="51111158"/>
    <s v="0.6%"/>
    <d v="2026-01-31T00:00:00"/>
    <s v="Monthly national estimate[35]"/>
    <m/>
  </r>
  <r>
    <x v="30"/>
    <n v="49687120"/>
    <s v="0.6%"/>
    <d v="2026-04-01T00:00:00"/>
    <s v="National quarterly estimate[36]"/>
    <m/>
  </r>
  <r>
    <x v="31"/>
    <n v="47400000"/>
    <s v="0.6%"/>
    <d v="2025-01-01T00:00:00"/>
    <s v="National annual projection[37]"/>
    <m/>
  </r>
  <r>
    <x v="32"/>
    <n v="46387098"/>
    <s v="0.6%"/>
    <d v="2025-07-01T00:00:00"/>
    <s v="National annual projection[38]"/>
    <m/>
  </r>
  <r>
    <x v="33"/>
    <n v="46118793"/>
    <s v="0.6%"/>
    <d v="2024-11-21T00:00:00"/>
    <s v="2024 census result[39]"/>
    <m/>
  </r>
  <r>
    <x v="34"/>
    <n v="45905417"/>
    <s v="0.6%"/>
    <d v="2024-05-10T00:00:00"/>
    <s v="2024 census result[40]"/>
    <m/>
  </r>
  <r>
    <x v="35"/>
    <n v="43844000"/>
    <s v="0.5%"/>
    <d v="2025-07-01T00:00:00"/>
    <s v="UN projection[41][42] (see note)"/>
    <s v="[l]"/>
  </r>
  <r>
    <x v="36"/>
    <n v="41417056"/>
    <s v="0.5%"/>
    <d v="2026-04-01T00:00:00"/>
    <s v="National quarterly estimate[49]"/>
    <m/>
  </r>
  <r>
    <x v="37"/>
    <n v="38778554"/>
    <s v="0.5%"/>
    <d v="2026-01-01T00:00:00"/>
    <s v="National Estimate[50]"/>
    <m/>
  </r>
  <r>
    <x v="38"/>
    <n v="38382685"/>
    <s v="0.5%"/>
    <d v="2026-04-01T00:00:00"/>
    <s v="Official estimate[51]"/>
    <m/>
  </r>
  <r>
    <x v="39"/>
    <n v="37281000"/>
    <s v="0.5%"/>
    <d v="2026-03-31T00:00:00"/>
    <s v="Monthly national estimate[52]"/>
    <m/>
  </r>
  <r>
    <x v="40"/>
    <n v="36828330"/>
    <s v="0.4%"/>
    <d v="2024-09-01T00:00:00"/>
    <s v="2024 census result[53]"/>
    <s v="[m]"/>
  </r>
  <r>
    <x v="41"/>
    <n v="35300280"/>
    <s v="0.4%"/>
    <d v="2024-07-01T00:00:00"/>
    <s v="Official estimate[54]"/>
    <m/>
  </r>
  <r>
    <x v="42"/>
    <n v="34374300"/>
    <s v="0.4%"/>
    <d v="2026-03-31T00:00:00"/>
    <s v="National quarterly estimate[55]"/>
    <m/>
  </r>
  <r>
    <x v="43"/>
    <n v="34350244"/>
    <s v="0.4%"/>
    <d v="2025-07-01T00:00:00"/>
    <s v="National annual projection[56]"/>
    <m/>
  </r>
  <r>
    <x v="44"/>
    <n v="34090466"/>
    <s v="0.4%"/>
    <d v="2025-07-01T00:00:00"/>
    <s v="National annual projection[57]"/>
    <m/>
  </r>
  <r>
    <x v="45"/>
    <n v="33742380"/>
    <s v="0.4%"/>
    <d v="2025-07-01T00:00:00"/>
    <s v="National annual projection[58]"/>
    <m/>
  </r>
  <r>
    <x v="46"/>
    <n v="32684503"/>
    <s v="0.4%"/>
    <d v="2023-07-01T00:00:00"/>
    <s v="Official estimate[59]"/>
    <m/>
  </r>
  <r>
    <x v="47"/>
    <n v="31727042"/>
    <s v="0.4%"/>
    <d v="2025-07-01T00:00:00"/>
    <s v="National annual projection[60]"/>
    <m/>
  </r>
  <r>
    <x v="48"/>
    <n v="31719275"/>
    <s v="0.4%"/>
    <d v="2024-12-31T00:00:00"/>
    <s v="National annual projection[61]"/>
    <m/>
  </r>
  <r>
    <x v="49"/>
    <n v="29911840"/>
    <s v="0.4%"/>
    <d v="2025-11-25T00:00:00"/>
    <s v="National annual projection[62]"/>
    <m/>
  </r>
  <r>
    <x v="50"/>
    <n v="29442327"/>
    <s v="0.4%"/>
    <d v="2025-07-01T00:00:00"/>
    <s v="National annual projection[63]"/>
    <m/>
  </r>
  <r>
    <x v="51"/>
    <n v="28700000"/>
    <s v="0.3%"/>
    <d v="2025-09-01T00:00:00"/>
    <s v="State migration service[64]"/>
    <s v="[n]"/>
  </r>
  <r>
    <x v="52"/>
    <n v="28517000"/>
    <s v="0.3%"/>
    <d v="2025-07-01T00:00:00"/>
    <s v="UN projection[65]"/>
    <m/>
  </r>
  <r>
    <x v="53"/>
    <n v="27801023"/>
    <s v="0.3%"/>
    <d v="2025-12-31T00:00:00"/>
    <s v="Official projection[66]"/>
    <s v="[o]"/>
  </r>
  <r>
    <x v="54"/>
    <n v="27522750"/>
    <s v="0.3%"/>
    <d v="2025-07-01T00:00:00"/>
    <s v="National annual projection[67]"/>
    <m/>
  </r>
  <r>
    <x v="55"/>
    <n v="25950000"/>
    <s v="0.3%"/>
    <d v="2024-07-01T00:00:00"/>
    <s v="National annual projection[68]"/>
    <m/>
  </r>
  <r>
    <x v="56"/>
    <n v="25620427"/>
    <s v="0.3%"/>
    <d v="2025-07-01T00:00:00"/>
    <s v="Monthly estimate[69]"/>
    <m/>
  </r>
  <r>
    <x v="57"/>
    <n v="24070553"/>
    <s v="0.3%"/>
    <d v="2025-07-01T00:00:00"/>
    <s v="Official projection[70]"/>
    <m/>
  </r>
  <r>
    <x v="58"/>
    <n v="23252641"/>
    <s v="0.3%"/>
    <d v="2026-05-31T00:00:00"/>
    <s v="Official estimate[71]"/>
    <s v="[p]"/>
  </r>
  <r>
    <x v="59"/>
    <n v="22395489"/>
    <s v="0.3%"/>
    <d v="2022-06-15T00:00:00"/>
    <s v="2022 census result[72]"/>
    <m/>
  </r>
  <r>
    <x v="60"/>
    <n v="21781800"/>
    <s v="0.3%"/>
    <d v="2024-12-19T00:00:00"/>
    <s v="2024 census result[73]"/>
    <m/>
  </r>
  <r>
    <x v="61"/>
    <n v="20734262"/>
    <s v="0.3%"/>
    <d v="2025-07-01T00:00:00"/>
    <s v="National annual projection[74]"/>
    <m/>
  </r>
  <r>
    <x v="62"/>
    <n v="20562993"/>
    <s v="0.2%"/>
    <d v="2026-05-01T00:00:00"/>
    <s v="Official estimate[75]"/>
    <m/>
  </r>
  <r>
    <x v="63"/>
    <n v="20206953"/>
    <s v="0.2%"/>
    <d v="2025-06-30T00:00:00"/>
    <s v="National annual projection[76]"/>
    <m/>
  </r>
  <r>
    <x v="64"/>
    <n v="19693423"/>
    <s v="0.2%"/>
    <d v="2022-09-08T00:00:00"/>
    <s v="2022 census result[77]"/>
    <m/>
  </r>
  <r>
    <x v="65"/>
    <n v="19655000"/>
    <s v="0.2%"/>
    <d v="2025-07-01T00:00:00"/>
    <s v="UN projection[32]"/>
    <s v="[q]"/>
  </r>
  <r>
    <x v="66"/>
    <n v="19340757"/>
    <s v="0.2%"/>
    <d v="2025-07-01T00:00:00"/>
    <s v="National annual projection[78]"/>
    <m/>
  </r>
  <r>
    <x v="67"/>
    <n v="19075959"/>
    <s v="0.2%"/>
    <d v="2025-07-01T00:00:00"/>
    <s v="National annual projection[79]"/>
    <m/>
  </r>
  <r>
    <x v="68"/>
    <n v="19036031"/>
    <s v="0.2%"/>
    <d v="2025-01-01T00:00:00"/>
    <s v="Official estimate[80]"/>
    <m/>
  </r>
  <r>
    <x v="69"/>
    <n v="18147273"/>
    <s v="0.2%"/>
    <d v="2026-04-30T00:00:00"/>
    <s v="Official estimate[81]"/>
    <s v="[r]"/>
  </r>
  <r>
    <x v="70"/>
    <n v="18103660"/>
    <s v="0.2%"/>
    <d v="2025-07-01T00:00:00"/>
    <s v="National annual projection[82]"/>
    <m/>
  </r>
  <r>
    <x v="71"/>
    <n v="18312373"/>
    <s v="0.2%"/>
    <d v="2026-07-01T00:00:00"/>
    <s v="National annual projection[83]"/>
    <m/>
  </r>
  <r>
    <x v="72"/>
    <n v="17577760"/>
    <s v="0.2%"/>
    <d v="2025-07-01T00:00:00"/>
    <s v="Official projection[84]"/>
    <m/>
  </r>
  <r>
    <x v="73"/>
    <n v="17073087"/>
    <s v="0.2%"/>
    <d v="2025-07-01T00:00:00"/>
    <s v="Official projection[85]"/>
    <m/>
  </r>
  <r>
    <x v="74"/>
    <n v="17521167"/>
    <s v="0.2%"/>
    <d v="2025-07-01T00:00:00"/>
    <s v="Census 1 Juli 2025[86]"/>
    <m/>
  </r>
  <r>
    <x v="75"/>
    <n v="15786898"/>
    <s v="0.2%"/>
    <d v="2025-07-01T00:00:00"/>
    <s v="National annual projection[87]"/>
    <m/>
  </r>
  <r>
    <x v="76"/>
    <n v="14104969"/>
    <s v="0.2%"/>
    <d v="2025-07-01T00:00:00"/>
    <s v="National annual projection[88]"/>
    <m/>
  </r>
  <r>
    <x v="77"/>
    <n v="13224860"/>
    <s v="0.2%"/>
    <d v="2025-07-01T00:00:00"/>
    <s v="National annual projection[89]"/>
    <m/>
  </r>
  <r>
    <x v="78"/>
    <n v="12332788"/>
    <s v="0.1%"/>
    <d v="2024-08-16T00:00:00"/>
    <s v="Preliminary census result[90]"/>
    <m/>
  </r>
  <r>
    <x v="79"/>
    <n v="11972169"/>
    <s v="0.1%"/>
    <d v="2024-11-06T00:00:00"/>
    <s v="2024 census result[91]"/>
    <m/>
  </r>
  <r>
    <x v="80"/>
    <n v="11937000"/>
    <s v="0.1%"/>
    <d v="2025-12-31T00:00:00"/>
    <s v="National estimate[92]"/>
    <m/>
  </r>
  <r>
    <x v="81"/>
    <n v="11936546"/>
    <s v="0.1%"/>
    <d v="2026-04-01T00:00:00"/>
    <s v="Official estimate[93]"/>
    <m/>
  </r>
  <r>
    <x v="82"/>
    <n v="11867032"/>
    <s v="0.1%"/>
    <d v="2024-07-01T00:00:00"/>
    <s v="National annual projection[94]"/>
    <m/>
  </r>
  <r>
    <x v="83"/>
    <n v="11365333"/>
    <s v="0.1%"/>
    <d v="2024-03-23T00:00:00"/>
    <s v="2024 census result[95]"/>
    <m/>
  </r>
  <r>
    <x v="84"/>
    <n v="11294243"/>
    <s v="0.1%"/>
    <d v="2024-12-31T00:00:00"/>
    <s v="Official estimate[96]"/>
    <m/>
  </r>
  <r>
    <x v="85"/>
    <n v="10896003"/>
    <s v="0.1%"/>
    <d v="2026-03-31T00:00:00"/>
    <s v="Official estimate[97]"/>
    <m/>
  </r>
  <r>
    <x v="86"/>
    <n v="10771504"/>
    <s v="0.1%"/>
    <d v="2022-11-10T00:00:00"/>
    <s v="2022 census result[98]"/>
    <m/>
  </r>
  <r>
    <x v="87"/>
    <n v="10749635"/>
    <s v="0.1%"/>
    <d v="2024-12-31T00:00:00"/>
    <s v="Official estimate[99]"/>
    <m/>
  </r>
  <r>
    <x v="88"/>
    <n v="10721000"/>
    <s v="0.1%"/>
    <d v="2026-01-01T00:00:00"/>
    <s v="Official estimate[100]"/>
    <m/>
  </r>
  <r>
    <x v="89"/>
    <n v="10605725"/>
    <s v="0.1%"/>
    <d v="2026-04-30T00:00:00"/>
    <s v="Monthly national estimate[101]"/>
    <m/>
  </r>
  <r>
    <x v="90"/>
    <n v="10372335"/>
    <s v="0.1%"/>
    <d v="2025-01-01T00:00:00"/>
    <s v="Official estimate[102]"/>
    <m/>
  </r>
  <r>
    <x v="91"/>
    <n v="10266627"/>
    <s v="0.1%"/>
    <d v="2026-03-01T00:00:00"/>
    <s v="Monthly national estimate[103]"/>
    <m/>
  </r>
  <r>
    <x v="92"/>
    <n v="10244000"/>
    <s v="0.1%"/>
    <d v="2026-04-21T00:00:00"/>
    <s v="Monthly national estimate[104]"/>
    <s v="[s]"/>
  </r>
  <r>
    <x v="93"/>
    <n v="10185363"/>
    <s v="0.1%"/>
    <d v="2024-06-16T00:00:00"/>
    <s v="2024 census result[105]"/>
    <m/>
  </r>
  <r>
    <x v="94"/>
    <n v="10186738"/>
    <s v="0.1%"/>
    <d v="2026-07-01T00:00:00"/>
    <s v="National annual projection[106]"/>
    <m/>
  </r>
  <r>
    <x v="95"/>
    <n v="9748007"/>
    <s v="0.1%"/>
    <d v="2024-12-31T00:00:00"/>
    <s v="Official estimate[107]"/>
    <m/>
  </r>
  <r>
    <x v="96"/>
    <n v="9489000"/>
    <s v="0.1%"/>
    <d v="2026-01-01T00:00:00"/>
    <s v="Official estimate[108]"/>
    <m/>
  </r>
  <r>
    <x v="97"/>
    <n v="9220882"/>
    <s v="0.1%"/>
    <d v="2026-04-01T00:00:00"/>
    <s v="National quarterly estimate[109]"/>
    <m/>
  </r>
  <r>
    <x v="98"/>
    <n v="9139676"/>
    <s v="0.1%"/>
    <d v="2026-03-31T00:00:00"/>
    <s v="National quarterly estimate[110]"/>
    <m/>
  </r>
  <r>
    <x v="99"/>
    <n v="9077691"/>
    <s v="0.1%"/>
    <d v="2025-07-01T00:00:00"/>
    <s v="National annual projection[111]"/>
    <m/>
  </r>
  <r>
    <x v="100"/>
    <n v="9056080"/>
    <s v="0.1%"/>
    <d v="2026-01-01T00:00:00"/>
    <s v="Official estimate[112]"/>
    <m/>
  </r>
  <r>
    <x v="101"/>
    <n v="8095498"/>
    <s v="0.10%"/>
    <d v="2022-11-08T00:00:00"/>
    <s v="2022 census result[113]"/>
    <m/>
  </r>
  <r>
    <x v="102"/>
    <n v="7647000"/>
    <s v="0.09%"/>
    <d v="2024-07-01T00:00:00"/>
    <s v="National annual projection[114]"/>
    <m/>
  </r>
  <r>
    <x v="103"/>
    <n v="7510800"/>
    <s v="0.09%"/>
    <d v="2025-12-31T00:00:00"/>
    <s v="National estimate[115]"/>
    <m/>
  </r>
  <r>
    <x v="104"/>
    <n v="7459000"/>
    <s v="0.09%"/>
    <d v="2025-07-01T00:00:00"/>
    <s v="UN projection[116]"/>
    <m/>
  </r>
  <r>
    <x v="105"/>
    <n v="7404300"/>
    <s v="0.09%"/>
    <d v="2026-01-01T00:00:00"/>
    <s v="Monthly national estimate[117]"/>
    <m/>
  </r>
  <r>
    <x v="106"/>
    <n v="7057841"/>
    <s v="0.09%"/>
    <d v="2022-12-17T00:00:00"/>
    <s v="2022 census result[118]"/>
    <m/>
  </r>
  <r>
    <x v="107"/>
    <n v="6874748"/>
    <s v="0.08%"/>
    <d v="2024-06-30T00:00:00"/>
    <s v="Official estimate[119]"/>
    <m/>
  </r>
  <r>
    <x v="108"/>
    <n v="6567783"/>
    <s v="0.08%"/>
    <d v="2025-01-01T00:00:00"/>
    <s v="Official estimate[120]"/>
    <s v="[t]"/>
  </r>
  <r>
    <x v="109"/>
    <n v="6470307"/>
    <s v="0.08%"/>
    <d v="2024-07-01T00:00:00"/>
    <s v="National annual projection[121]"/>
    <m/>
  </r>
  <r>
    <x v="110"/>
    <n v="6423207"/>
    <s v="0.08%"/>
    <d v="2025-12-31T00:00:00"/>
    <s v="Official estimate[122]"/>
    <m/>
  </r>
  <r>
    <x v="111"/>
    <n v="6142180"/>
    <s v="0.07%"/>
    <d v="2023-05-17T00:00:00"/>
    <s v="2023 census result[123]"/>
    <m/>
  </r>
  <r>
    <x v="112"/>
    <n v="6110200"/>
    <s v="0.07%"/>
    <d v="2025-06-30T00:00:00"/>
    <s v="National annual projection[124]"/>
    <m/>
  </r>
  <r>
    <x v="113"/>
    <n v="6109644"/>
    <s v="0.07%"/>
    <d v="2022-11-09T00:00:00"/>
    <s v="2022 census result[125]"/>
    <m/>
  </r>
  <r>
    <x v="114"/>
    <n v="6032963"/>
    <s v="0.07%"/>
    <d v="2026-05-01T00:00:00"/>
    <s v="Monthly national estimate[126]"/>
    <s v="[u]"/>
  </r>
  <r>
    <x v="115"/>
    <n v="6029976"/>
    <s v="0.07%"/>
    <d v="2024-05-02T00:00:00"/>
    <s v="2024 census result[127]"/>
    <m/>
  </r>
  <r>
    <x v="116"/>
    <n v="5650152"/>
    <s v="0.07%"/>
    <d v="2026-04-30T00:00:00"/>
    <s v="Monthly national estimate[128]"/>
    <s v="[v]"/>
  </r>
  <r>
    <x v="117"/>
    <n v="5633770"/>
    <s v="0.07%"/>
    <d v="2026-03-31T00:00:00"/>
    <s v="National quarterly estimate[129]"/>
    <s v="[w]"/>
  </r>
  <r>
    <x v="118"/>
    <n v="5490000"/>
    <s v="0.07%"/>
    <d v="2021-07-01T00:00:00"/>
    <s v="Official estimate[130]"/>
    <m/>
  </r>
  <r>
    <x v="119"/>
    <n v="5483450"/>
    <s v="0.07%"/>
    <d v="2023-01-01T00:00:00"/>
    <s v="National annual projection[131]"/>
    <s v="[x]"/>
  </r>
  <r>
    <x v="120"/>
    <n v="5458600"/>
    <s v="0.07%"/>
    <d v="2025-04-01T00:00:00"/>
    <s v="National estimate[132]"/>
    <m/>
  </r>
  <r>
    <x v="121"/>
    <n v="5405368"/>
    <s v="0.07%"/>
    <d v="2026-03-31T00:00:00"/>
    <s v="National quarterly estimate[133]"/>
    <m/>
  </r>
  <r>
    <x v="122"/>
    <n v="5374651"/>
    <s v="0.07%"/>
    <d v="2026-04-30T00:00:00"/>
    <s v="Monthly national estimate[134]"/>
    <m/>
  </r>
  <r>
    <x v="123"/>
    <n v="5361300"/>
    <s v="0.06%"/>
    <d v="2026-03-31T00:00:00"/>
    <s v="National quarterly estimate[135]"/>
    <s v="[y]"/>
  </r>
  <r>
    <x v="124"/>
    <n v="5248621"/>
    <s v="0.06%"/>
    <d v="2022-11-10T00:00:00"/>
    <s v="2022 census result[136]"/>
    <m/>
  </r>
  <r>
    <x v="125"/>
    <n v="5191824"/>
    <s v="0.06%"/>
    <d v="2025-06-30T00:00:00"/>
    <s v="National annual projection[137]"/>
    <m/>
  </r>
  <r>
    <x v="126"/>
    <n v="4927532"/>
    <s v="0.06%"/>
    <d v="2023-12-25T00:00:00"/>
    <s v="2023 census result[138]"/>
    <m/>
  </r>
  <r>
    <x v="127"/>
    <n v="4881254"/>
    <s v="0.06%"/>
    <d v="2025-01-01T00:00:00"/>
    <s v="Official estimate[139]"/>
    <m/>
  </r>
  <r>
    <x v="128"/>
    <n v="4064780"/>
    <s v="0.05%"/>
    <d v="2026-07-01T00:00:00"/>
    <s v="2023 census result[140]"/>
    <m/>
  </r>
  <r>
    <x v="129"/>
    <n v="3941100"/>
    <s v="0.05%"/>
    <d v="2026-01-01T00:00:00"/>
    <s v="Official estimate[141]"/>
    <s v="[z]"/>
  </r>
  <r>
    <x v="130"/>
    <n v="3866233"/>
    <s v="0.05%"/>
    <d v="2024-07-01T00:00:00"/>
    <s v="Official estimate[142]"/>
    <m/>
  </r>
  <r>
    <x v="131"/>
    <n v="3607000"/>
    <s v="0.04%"/>
    <d v="2025-07-01T00:00:00"/>
    <s v="UN projection[116] (see note)"/>
    <s v="[aa]"/>
  </r>
  <r>
    <x v="132"/>
    <n v="3591120"/>
    <s v="0.04%"/>
    <d v="2025-12-31T00:00:00"/>
    <s v="National annual projection[149]"/>
    <m/>
  </r>
  <r>
    <x v="133"/>
    <n v="3485931"/>
    <s v="0.04%"/>
    <d v="2025-06-30T00:00:00"/>
    <s v="National annual projection[150]"/>
    <m/>
  </r>
  <r>
    <x v="134"/>
    <n v="3412000"/>
    <s v="0.04%"/>
    <d v="2024-07-01T00:00:00"/>
    <s v="Official estimate[151]"/>
    <m/>
  </r>
  <r>
    <x v="135"/>
    <n v="3214609"/>
    <s v="0.04%"/>
    <d v="2025-12-31T00:00:00"/>
    <s v="Monthly national estimate[152]"/>
    <m/>
  </r>
  <r>
    <x v="136"/>
    <n v="3184195"/>
    <s v="0.04%"/>
    <d v="2025-07-01T00:00:00"/>
    <s v="Annual projection[153]"/>
    <m/>
  </r>
  <r>
    <x v="137"/>
    <n v="3096900"/>
    <s v="0.04%"/>
    <d v="2025-01-01T00:00:00"/>
    <s v="Official estimate[154]"/>
    <m/>
  </r>
  <r>
    <x v="138"/>
    <n v="3022401"/>
    <s v="0.04%"/>
    <d v="2023-09-24T00:00:00"/>
    <s v="2023 Census[155]"/>
    <m/>
  </r>
  <r>
    <x v="139"/>
    <n v="2884962"/>
    <s v="0.03%"/>
    <d v="2026-06-01T00:00:00"/>
    <s v="Monthly national estimate[156]"/>
    <m/>
  </r>
  <r>
    <x v="140"/>
    <n v="2774538"/>
    <s v="0.03%"/>
    <d v="2022-09-12T00:00:00"/>
    <s v="2022 census result[157]"/>
    <m/>
  </r>
  <r>
    <x v="141"/>
    <n v="2469296"/>
    <s v="0.03%"/>
    <d v="2025-07-01T00:00:00"/>
    <s v="National annual projection[158]"/>
    <m/>
  </r>
  <r>
    <x v="142"/>
    <n v="2422712"/>
    <s v="0.03%"/>
    <d v="2024-05-01T00:00:00"/>
    <s v="Preliminary census results[159]"/>
    <m/>
  </r>
  <r>
    <x v="143"/>
    <n v="2365600"/>
    <s v="0.03%"/>
    <d v="2026-01-01T00:00:00"/>
    <s v="Official estimate[160]"/>
    <s v="[ab]"/>
  </r>
  <r>
    <x v="144"/>
    <n v="2359609"/>
    <s v="0.03%"/>
    <d v="2022-03-18T00:00:00"/>
    <s v="2022 census result[161]"/>
    <m/>
  </r>
  <r>
    <x v="145"/>
    <n v="2335930"/>
    <s v="0.03%"/>
    <d v="2026-01-01T00:00:00"/>
    <s v="Official estimate[162]"/>
    <m/>
  </r>
  <r>
    <x v="146"/>
    <n v="2135107"/>
    <s v="0.03%"/>
    <d v="2026-01-01T00:00:00"/>
    <s v="National quarterly estimate[163]"/>
    <m/>
  </r>
  <r>
    <x v="147"/>
    <n v="2116427"/>
    <s v="0.03%"/>
    <n v="2024"/>
    <s v="Official survey[164]"/>
    <m/>
  </r>
  <r>
    <x v="148"/>
    <n v="1852784"/>
    <s v="0.02%"/>
    <d v="2025-07-01T00:00:00"/>
    <s v="National annual projection[165]"/>
    <m/>
  </r>
  <r>
    <x v="149"/>
    <n v="1835200"/>
    <s v="0.02%"/>
    <d v="2026-05-01T00:00:00"/>
    <s v="Monthly national estimate[166]"/>
    <m/>
  </r>
  <r>
    <x v="150"/>
    <n v="1822612"/>
    <s v="0.02%"/>
    <d v="2024-12-31T00:00:00"/>
    <s v="Official estimate[167]"/>
    <m/>
  </r>
  <r>
    <x v="151"/>
    <n v="1668768"/>
    <s v="0.02%"/>
    <d v="2024-07-01T00:00:00"/>
    <s v="Official estimate[168]"/>
    <m/>
  </r>
  <r>
    <x v="152"/>
    <n v="1603260"/>
    <s v="0.02%"/>
    <d v="2025-06-30T00:00:00"/>
    <s v="Official estimate[169]"/>
    <m/>
  </r>
  <r>
    <x v="153"/>
    <n v="1585566"/>
    <s v="0.02%"/>
    <d v="2024-04-04T00:00:00"/>
    <s v="2024 national census[170]"/>
    <m/>
  </r>
  <r>
    <x v="154"/>
    <n v="1391221"/>
    <s v="0.02%"/>
    <d v="2025-07-01T00:00:00"/>
    <s v="National annual projection[171]"/>
    <m/>
  </r>
  <r>
    <x v="155"/>
    <n v="1367764"/>
    <s v="0.02%"/>
    <d v="2025-06-30T00:00:00"/>
    <s v="Official estimate[172]"/>
    <m/>
  </r>
  <r>
    <x v="156"/>
    <n v="1360745"/>
    <s v="0.02%"/>
    <d v="2026-01-01T00:00:00"/>
    <s v="Official estimate[173]"/>
    <m/>
  </r>
  <r>
    <x v="157"/>
    <n v="1241856"/>
    <s v="0.02%"/>
    <d v="2025-12-31T00:00:00"/>
    <s v="National estimate[174]"/>
    <m/>
  </r>
  <r>
    <x v="158"/>
    <n v="1235549"/>
    <s v="0.01%"/>
    <d v="2024-07-01T00:00:00"/>
    <s v="Official projection[175]"/>
    <m/>
  </r>
  <r>
    <x v="159"/>
    <n v="1066809"/>
    <s v="0.01%"/>
    <d v="2024-05-20T00:00:00"/>
    <s v="2024 census result[176]"/>
    <m/>
  </r>
  <r>
    <x v="160"/>
    <n v="983000"/>
    <s v="0.01%"/>
    <d v="2024-12-31T00:00:00"/>
    <s v="Official estimate[177]"/>
    <s v="[ac]"/>
  </r>
  <r>
    <x v="161"/>
    <n v="956044"/>
    <s v="0.01%"/>
    <d v="2024-12-31T00:00:00"/>
    <s v="Official estimate[178]"/>
    <m/>
  </r>
  <r>
    <x v="162"/>
    <n v="944388"/>
    <s v="0.01%"/>
    <n v="2026"/>
    <s v="Official estimate[179]"/>
    <m/>
  </r>
  <r>
    <x v="163"/>
    <n v="902623"/>
    <s v="0.01%"/>
    <d v="2026-01-01T00:00:00"/>
    <s v="National annual projection[180]"/>
    <m/>
  </r>
  <r>
    <x v="164"/>
    <n v="784043"/>
    <s v="0.009%"/>
    <n v="2025"/>
    <s v="National annual projection[181]"/>
    <m/>
  </r>
  <r>
    <x v="165"/>
    <n v="750325"/>
    <s v="0.009%"/>
    <d v="2024-07-01T00:00:00"/>
    <s v="National annual projection[182]"/>
    <m/>
  </r>
  <r>
    <x v="166"/>
    <n v="690959"/>
    <s v="0.008%"/>
    <d v="2026-01-01T00:00:00"/>
    <s v="Official estimate[183]"/>
    <m/>
  </r>
  <r>
    <x v="167"/>
    <n v="688100"/>
    <s v="0.008%"/>
    <d v="2026-03-31T00:00:00"/>
    <s v="National quarterly estimate[184]"/>
    <m/>
  </r>
  <r>
    <x v="168"/>
    <n v="622902"/>
    <s v="0.008%"/>
    <d v="2026-01-01T00:00:00"/>
    <s v="Official estimate[185]"/>
    <m/>
  </r>
  <r>
    <x v="169"/>
    <n v="616500"/>
    <s v="0.007%"/>
    <d v="2021-07-01T00:00:00"/>
    <s v="Official estimate[186]"/>
    <m/>
  </r>
  <r>
    <x v="170"/>
    <n v="600904"/>
    <s v="0.007%"/>
    <d v="2025-07-01T00:00:00"/>
    <s v="UN projection[116]"/>
    <m/>
  </r>
  <r>
    <x v="171"/>
    <n v="574250"/>
    <s v="0.007%"/>
    <d v="2024-12-31T00:00:00"/>
    <s v="Official estimate[187]"/>
    <m/>
  </r>
  <r>
    <x v="172"/>
    <n v="515132"/>
    <s v="0.006%"/>
    <d v="2022-09-13T00:00:00"/>
    <s v="2022 census result[188]"/>
    <m/>
  </r>
  <r>
    <x v="173"/>
    <n v="491233"/>
    <s v="0.006%"/>
    <d v="2021-06-16T00:00:00"/>
    <s v="2021 census result[189]"/>
    <m/>
  </r>
  <r>
    <x v="174"/>
    <n v="476214"/>
    <s v="0.006%"/>
    <d v="2023-12-31T00:00:00"/>
    <s v="Official projection[190]"/>
    <s v="[ad]"/>
  </r>
  <r>
    <x v="175"/>
    <n v="458600"/>
    <s v="0.006%"/>
    <d v="2025-07-01T00:00:00"/>
    <s v="Official estimate[191]"/>
    <m/>
  </r>
  <r>
    <x v="176"/>
    <n v="417634"/>
    <s v="0.005%"/>
    <d v="2025-07-01T00:00:00"/>
    <s v="Official estimate[192]"/>
    <m/>
  </r>
  <r>
    <x v="177"/>
    <n v="398165"/>
    <s v="0.005%"/>
    <d v="2022-04-04T00:00:00"/>
    <s v="2022 census result[193]"/>
    <m/>
  </r>
  <r>
    <x v="178"/>
    <n v="395050"/>
    <s v="0.005%"/>
    <d v="2026-04-01T00:00:00"/>
    <s v="National quarterly estimate[194]"/>
    <m/>
  </r>
  <r>
    <x v="179"/>
    <n v="367776"/>
    <s v="0.004%"/>
    <d v="2024-03-31T00:00:00"/>
    <s v="Official estimate[195]"/>
    <s v="[ae]"/>
  </r>
  <r>
    <x v="180"/>
    <n v="321409"/>
    <s v="0.004%"/>
    <d v="2024-07-01T00:00:00"/>
    <s v="National annual projection[196]"/>
    <m/>
  </r>
  <r>
    <x v="181"/>
    <n v="279500"/>
    <s v="0.003%"/>
    <d v="2024-12-31T00:00:00"/>
    <s v="National annual projection[197]"/>
    <m/>
  </r>
  <r>
    <x v="182"/>
    <n v="264596"/>
    <s v="0.003%"/>
    <d v="2025-01-01T00:00:00"/>
    <s v="National annual projection[198]"/>
    <m/>
  </r>
  <r>
    <x v="183"/>
    <n v="261692"/>
    <s v="0.003%"/>
    <d v="2025-12-31T00:00:00"/>
    <s v="Official estimate[199]"/>
    <m/>
  </r>
  <r>
    <x v="184"/>
    <n v="244236"/>
    <s v="0.003%"/>
    <d v="2022-01-01T00:00:00"/>
    <s v="Official estimate[200]"/>
    <s v="[af]"/>
  </r>
  <r>
    <x v="185"/>
    <n v="209607"/>
    <s v="0.003%"/>
    <n v="2024"/>
    <s v="Preliminary census result[201]"/>
    <m/>
  </r>
  <r>
    <x v="186"/>
    <n v="205557"/>
    <s v="0.002%"/>
    <d v="2021-11-06T00:00:00"/>
    <s v="2021 Census[202]"/>
    <m/>
  </r>
  <r>
    <x v="187"/>
    <n v="184100"/>
    <s v="0.002%"/>
    <d v="2023-07-01T00:00:00"/>
    <s v="Official estimate[203]"/>
    <m/>
  </r>
  <r>
    <x v="188"/>
    <n v="156115"/>
    <s v="0.002%"/>
    <d v="2025-01-01T00:00:00"/>
    <s v="Official estimate[204]"/>
    <m/>
  </r>
  <r>
    <x v="189"/>
    <n v="153836"/>
    <s v="0.002%"/>
    <d v="2020-04-01T00:00:00"/>
    <s v="2020 census result[205]"/>
    <m/>
  </r>
  <r>
    <x v="190"/>
    <n v="123097"/>
    <s v="0.001%"/>
    <d v="2025-12-31T00:00:00"/>
    <s v="Official estimate[206]"/>
    <m/>
  </r>
  <r>
    <x v="191"/>
    <n v="120740"/>
    <s v="0.001%"/>
    <d v="2021-07-01T00:00:00"/>
    <s v="National annual projection[196]"/>
    <m/>
  </r>
  <r>
    <x v="192"/>
    <n v="110625"/>
    <s v="0.001%"/>
    <d v="2025-12-31T00:00:00"/>
    <s v="Official estimate[207]"/>
    <m/>
  </r>
  <r>
    <x v="193"/>
    <n v="109296"/>
    <s v="0.001%"/>
    <d v="2023-06-15T00:00:00"/>
    <s v="2023 census result[208]"/>
    <m/>
  </r>
  <r>
    <x v="194"/>
    <n v="109021"/>
    <s v="0.001%"/>
    <n v="2021"/>
    <s v="Preliminary Census results[209]"/>
    <m/>
  </r>
  <r>
    <x v="195"/>
    <n v="103603"/>
    <s v="0.001%"/>
    <d v="2024-01-01T00:00:00"/>
    <s v="Official estimate[210]"/>
    <m/>
  </r>
  <r>
    <x v="196"/>
    <n v="103267"/>
    <s v="0.001%"/>
    <d v="2021-03-21T00:00:00"/>
    <s v="2021 census result[211]"/>
    <m/>
  </r>
  <r>
    <x v="197"/>
    <n v="100179"/>
    <s v="0.001%"/>
    <d v="2021-11-30T00:00:00"/>
    <s v="2021 census result[212]"/>
    <m/>
  </r>
  <r>
    <x v="198"/>
    <n v="89484"/>
    <s v="0.001%"/>
    <d v="2026-04-30T00:00:00"/>
    <s v="Monthly national estimate[213]"/>
    <m/>
  </r>
  <r>
    <x v="199"/>
    <n v="88833"/>
    <s v="0.001%"/>
    <d v="2024-12-31T00:00:00"/>
    <s v="National annual projection[214]"/>
    <m/>
  </r>
  <r>
    <x v="200"/>
    <n v="87146"/>
    <s v="0.001%"/>
    <d v="2020-04-01T00:00:00"/>
    <s v="2020 census result[215]"/>
    <m/>
  </r>
  <r>
    <x v="201"/>
    <n v="84975"/>
    <s v="0.001%"/>
    <d v="2025-04-01T00:00:00"/>
    <s v="Official estimate[216]"/>
    <m/>
  </r>
  <r>
    <x v="202"/>
    <n v="75817"/>
    <s v="0.0009%"/>
    <d v="2023-02-12T00:00:00"/>
    <s v="2023 Census[217]"/>
    <m/>
  </r>
  <r>
    <x v="203"/>
    <n v="71946"/>
    <s v="0.0009%"/>
    <n v="2018"/>
    <s v="UN estimate[218]"/>
    <m/>
  </r>
  <r>
    <x v="204"/>
    <n v="64781"/>
    <s v="0.0008%"/>
    <d v="2023-12-31T00:00:00"/>
    <s v="National quarterly estimate[219]"/>
    <m/>
  </r>
  <r>
    <x v="205"/>
    <n v="64055"/>
    <s v="0.0008%"/>
    <d v="2021-07-01T00:00:00"/>
    <s v="National annual projection[220]"/>
    <m/>
  </r>
  <r>
    <x v="206"/>
    <n v="56740"/>
    <s v="0.0007%"/>
    <d v="2026-01-01T00:00:00"/>
    <s v="National quarterly estimate[221]"/>
    <m/>
  </r>
  <r>
    <x v="207"/>
    <n v="56520"/>
    <s v="0.0007%"/>
    <d v="2021-12-31T00:00:00"/>
    <s v="Official estimate[222]"/>
    <s v="[ag]"/>
  </r>
  <r>
    <x v="208"/>
    <n v="55348"/>
    <s v="0.0007%"/>
    <d v="2026-05-01T00:00:00"/>
    <s v="Monthly national estimate[223]"/>
    <m/>
  </r>
  <r>
    <x v="209"/>
    <n v="51320"/>
    <s v="0.0006%"/>
    <n v="2022"/>
    <s v="2022 census result[224]"/>
    <m/>
  </r>
  <r>
    <x v="210"/>
    <n v="50828"/>
    <s v="0.0006%"/>
    <d v="2024-07-01T00:00:00"/>
    <s v="Official estimate[225]"/>
    <m/>
  </r>
  <r>
    <x v="211"/>
    <n v="49710"/>
    <s v="0.0006%"/>
    <d v="2020-04-01T00:00:00"/>
    <s v="2020 census result[226]"/>
    <m/>
  </r>
  <r>
    <x v="212"/>
    <n v="47329"/>
    <s v="0.0006%"/>
    <d v="2020-04-01T00:00:00"/>
    <s v="2020 census result[227]"/>
    <m/>
  </r>
  <r>
    <x v="213"/>
    <n v="42418"/>
    <s v="0.0005%"/>
    <d v="2021-09-30T00:00:00"/>
    <s v="2021 Census[228]"/>
    <m/>
  </r>
  <r>
    <x v="214"/>
    <n v="41349"/>
    <s v="0.0005%"/>
    <d v="2025-01-01T00:00:00"/>
    <s v="Official estimate[229]"/>
    <m/>
  </r>
  <r>
    <x v="215"/>
    <n v="41237"/>
    <s v="0.0005%"/>
    <d v="2025-12-31T00:00:00"/>
    <s v="National estimate[230]"/>
    <m/>
  </r>
  <r>
    <x v="216"/>
    <n v="39471"/>
    <s v="0.0005%"/>
    <d v="2024-07-01T00:00:00"/>
    <s v="UN projection[3]"/>
    <m/>
  </r>
  <r>
    <x v="217"/>
    <n v="38857"/>
    <s v="0.0005%"/>
    <d v="2025-12-31T00:00:00"/>
    <s v="Census[231]"/>
    <m/>
  </r>
  <r>
    <x v="218"/>
    <n v="38196"/>
    <s v="0.0005%"/>
    <d v="2022-11-14T00:00:00"/>
    <s v="Preliminary census results[232]"/>
    <m/>
  </r>
  <r>
    <x v="219"/>
    <n v="34159"/>
    <s v="0.0004%"/>
    <d v="2026-04-30T00:00:00"/>
    <s v="Monthly national estimate[233]"/>
    <m/>
  </r>
  <r>
    <x v="220"/>
    <n v="31496"/>
    <s v="0.0004%"/>
    <d v="2025-01-01T00:00:00"/>
    <s v="Official estimate[234]"/>
    <m/>
  </r>
  <r>
    <x v="221"/>
    <n v="16733"/>
    <s v="0.0002%"/>
    <d v="2021-07-01T00:00:00"/>
    <s v="2021 Census[235]"/>
    <m/>
  </r>
  <r>
    <x v="222"/>
    <n v="16010"/>
    <s v="0.0002%"/>
    <d v="2024-12-31T00:00:00"/>
    <s v="Official estimate[236]"/>
    <m/>
  </r>
  <r>
    <x v="223"/>
    <n v="15040"/>
    <s v="0.0002%"/>
    <d v="2021-07-01T00:00:00"/>
    <s v="2021 Census[237]"/>
    <m/>
  </r>
  <r>
    <x v="224"/>
    <n v="11680"/>
    <s v="0.0001%"/>
    <d v="2021-10-30T00:00:00"/>
    <s v="2021 Census[238]"/>
    <m/>
  </r>
  <r>
    <x v="225"/>
    <n v="11620"/>
    <s v="0.0001%"/>
    <d v="2023-07-24T00:00:00"/>
    <s v="2023 Census[239]"/>
    <m/>
  </r>
  <r>
    <x v="226"/>
    <n v="10643"/>
    <s v="0.0001%"/>
    <d v="2022-12-12T00:00:00"/>
    <s v="2022 Census[240]"/>
    <m/>
  </r>
  <r>
    <x v="227"/>
    <n v="10562"/>
    <s v="0.0001%"/>
    <d v="2025-01-01T00:00:00"/>
    <s v="Official estimate[234]"/>
    <m/>
  </r>
  <r>
    <x v="228"/>
    <n v="5819"/>
    <n v="0"/>
    <d v="2025-01-01T00:00:00"/>
    <s v="Official estimate[234]"/>
    <m/>
  </r>
  <r>
    <x v="229"/>
    <n v="5651"/>
    <n v="0"/>
    <d v="2021-07-01T00:00:00"/>
    <s v="2021 Census[241][242][243]"/>
    <m/>
  </r>
  <r>
    <x v="230"/>
    <n v="4386"/>
    <n v="0"/>
    <d v="2023-09-23T00:00:00"/>
    <s v="2023 census result[244]"/>
    <m/>
  </r>
  <r>
    <x v="231"/>
    <n v="3662"/>
    <n v="0"/>
    <d v="2021-10-10T00:00:00"/>
    <s v="2021 census result[245]"/>
    <m/>
  </r>
  <r>
    <x v="232"/>
    <n v="2608"/>
    <n v="0"/>
    <d v="2025-01-01T00:00:00"/>
    <s v="2025 Census[246]"/>
    <m/>
  </r>
  <r>
    <x v="233"/>
    <n v="2188"/>
    <n v="0"/>
    <d v="2021-01-01T00:00:00"/>
    <s v="2021 Census[247]"/>
    <m/>
  </r>
  <r>
    <x v="234"/>
    <n v="1692"/>
    <n v="0"/>
    <d v="2021-01-01T00:00:00"/>
    <s v="2021 Census[248]"/>
    <m/>
  </r>
  <r>
    <x v="235"/>
    <n v="1681"/>
    <n v="0"/>
    <d v="2022-11-11T00:00:00"/>
    <s v="2022 Census[249]"/>
    <m/>
  </r>
  <r>
    <x v="236"/>
    <n v="882"/>
    <n v="0"/>
    <d v="2024-12-31T00:00:00"/>
    <s v="Official figure[250]"/>
    <s v="[ah]"/>
  </r>
  <r>
    <x v="237"/>
    <n v="593"/>
    <n v="0"/>
    <d v="2020-06-30T00:00:00"/>
    <s v="2021 Census[251]"/>
    <m/>
  </r>
  <r>
    <x v="238"/>
    <n v="35"/>
    <n v="0"/>
    <d v="2023-07-01T00:00:00"/>
    <s v="Official estimate[252]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F1F86-E5F1-4C4E-AED3-26DF5EB6E489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I26:J37" firstHeaderRow="1" firstDataRow="1" firstDataCol="1"/>
  <pivotFields count="6">
    <pivotField axis="axisRow" showAll="0" measureFilter="1" sortType="descending">
      <items count="240">
        <item x="184"/>
        <item x="35"/>
        <item x="145"/>
        <item x="31"/>
        <item x="211"/>
        <item x="198"/>
        <item x="37"/>
        <item x="222"/>
        <item x="195"/>
        <item x="32"/>
        <item x="137"/>
        <item x="192"/>
        <item x="53"/>
        <item x="97"/>
        <item x="91"/>
        <item x="177"/>
        <item x="152"/>
        <item x="7"/>
        <item x="183"/>
        <item x="100"/>
        <item x="81"/>
        <item x="176"/>
        <item x="77"/>
        <item x="205"/>
        <item x="164"/>
        <item x="83"/>
        <item x="134"/>
        <item x="144"/>
        <item x="6"/>
        <item x="216"/>
        <item x="175"/>
        <item x="110"/>
        <item x="57"/>
        <item x="78"/>
        <item x="72"/>
        <item x="50"/>
        <item x="36"/>
        <item x="173"/>
        <item x="199"/>
        <item x="109"/>
        <item x="66"/>
        <item x="63"/>
        <item x="1"/>
        <item x="234"/>
        <item x="237"/>
        <item x="26"/>
        <item x="162"/>
        <item x="223"/>
        <item x="125"/>
        <item x="130"/>
        <item x="95"/>
        <item x="188"/>
        <item x="160"/>
        <item x="85"/>
        <item x="12"/>
        <item x="114"/>
        <item x="159"/>
        <item x="203"/>
        <item x="86"/>
        <item x="70"/>
        <item x="14"/>
        <item x="115"/>
        <item x="151"/>
        <item x="131"/>
        <item x="156"/>
        <item x="158"/>
        <item x="13"/>
        <item x="231"/>
        <item x="208"/>
        <item x="163"/>
        <item x="116"/>
        <item x="20"/>
        <item x="181"/>
        <item x="141"/>
        <item x="142"/>
        <item x="129"/>
        <item x="18"/>
        <item x="45"/>
        <item x="218"/>
        <item x="90"/>
        <item x="206"/>
        <item x="194"/>
        <item x="189"/>
        <item x="71"/>
        <item x="204"/>
        <item x="74"/>
        <item x="148"/>
        <item x="161"/>
        <item x="82"/>
        <item x="94"/>
        <item x="103"/>
        <item x="96"/>
        <item x="178"/>
        <item x="0"/>
        <item x="3"/>
        <item x="16"/>
        <item x="33"/>
        <item x="120"/>
        <item x="201"/>
        <item x="92"/>
        <item x="24"/>
        <item x="48"/>
        <item x="140"/>
        <item x="10"/>
        <item x="196"/>
        <item x="80"/>
        <item x="62"/>
        <item x="25"/>
        <item x="191"/>
        <item x="153"/>
        <item x="127"/>
        <item x="105"/>
        <item x="102"/>
        <item x="149"/>
        <item x="118"/>
        <item x="147"/>
        <item x="124"/>
        <item x="104"/>
        <item x="215"/>
        <item x="139"/>
        <item x="166"/>
        <item x="167"/>
        <item x="47"/>
        <item x="61"/>
        <item x="42"/>
        <item x="172"/>
        <item x="59"/>
        <item x="171"/>
        <item x="213"/>
        <item x="126"/>
        <item x="157"/>
        <item x="9"/>
        <item x="202"/>
        <item x="143"/>
        <item x="217"/>
        <item x="132"/>
        <item x="168"/>
        <item x="230"/>
        <item x="40"/>
        <item x="44"/>
        <item x="28"/>
        <item x="138"/>
        <item x="224"/>
        <item x="49"/>
        <item x="69"/>
        <item x="182"/>
        <item x="123"/>
        <item x="107"/>
        <item x="54"/>
        <item x="5"/>
        <item x="235"/>
        <item x="233"/>
        <item x="55"/>
        <item x="150"/>
        <item x="174"/>
        <item x="212"/>
        <item x="117"/>
        <item x="122"/>
        <item x="4"/>
        <item x="221"/>
        <item x="119"/>
        <item x="128"/>
        <item x="93"/>
        <item x="113"/>
        <item x="43"/>
        <item x="11"/>
        <item x="238"/>
        <item x="39"/>
        <item x="87"/>
        <item x="136"/>
        <item x="135"/>
        <item x="111"/>
        <item x="68"/>
        <item x="8"/>
        <item x="76"/>
        <item x="185"/>
        <item x="227"/>
        <item x="229"/>
        <item x="209"/>
        <item x="187"/>
        <item x="220"/>
        <item x="228"/>
        <item x="193"/>
        <item x="186"/>
        <item x="219"/>
        <item x="41"/>
        <item x="67"/>
        <item x="108"/>
        <item x="190"/>
        <item x="99"/>
        <item x="112"/>
        <item x="214"/>
        <item x="121"/>
        <item x="146"/>
        <item x="165"/>
        <item x="65"/>
        <item x="23"/>
        <item x="29"/>
        <item x="207"/>
        <item x="75"/>
        <item x="30"/>
        <item x="60"/>
        <item x="27"/>
        <item x="169"/>
        <item x="89"/>
        <item x="98"/>
        <item x="56"/>
        <item x="58"/>
        <item x="88"/>
        <item x="21"/>
        <item x="22"/>
        <item x="154"/>
        <item x="101"/>
        <item x="232"/>
        <item x="197"/>
        <item x="179"/>
        <item x="155"/>
        <item x="79"/>
        <item x="17"/>
        <item x="106"/>
        <item x="210"/>
        <item x="226"/>
        <item x="200"/>
        <item x="34"/>
        <item x="51"/>
        <item x="84"/>
        <item x="19"/>
        <item x="2"/>
        <item x="133"/>
        <item x="38"/>
        <item x="180"/>
        <item x="236"/>
        <item x="52"/>
        <item x="15"/>
        <item x="225"/>
        <item x="170"/>
        <item x="46"/>
        <item x="64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0"/>
  </rowFields>
  <rowItems count="11">
    <i>
      <x v="93"/>
    </i>
    <i>
      <x v="42"/>
    </i>
    <i>
      <x v="227"/>
    </i>
    <i>
      <x v="94"/>
    </i>
    <i>
      <x v="158"/>
    </i>
    <i>
      <x v="149"/>
    </i>
    <i>
      <x v="28"/>
    </i>
    <i>
      <x v="17"/>
    </i>
    <i>
      <x v="173"/>
    </i>
    <i>
      <x v="131"/>
    </i>
    <i t="grand">
      <x/>
    </i>
  </rowItems>
  <colItems count="1">
    <i/>
  </colItems>
  <dataFields count="1">
    <dataField name="Sum of Population" fld="1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10">
            <x v="17"/>
            <x v="28"/>
            <x v="42"/>
            <x v="93"/>
            <x v="94"/>
            <x v="131"/>
            <x v="149"/>
            <x v="158"/>
            <x v="173"/>
            <x v="227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6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9942-00B7-48F9-9982-202A285EC0E7}">
  <dimension ref="A1:S37"/>
  <sheetViews>
    <sheetView tabSelected="1" workbookViewId="0">
      <selection activeCell="A24" sqref="A24"/>
    </sheetView>
  </sheetViews>
  <sheetFormatPr defaultRowHeight="14.4" x14ac:dyDescent="0.3"/>
  <cols>
    <col min="1" max="1" width="17" customWidth="1"/>
    <col min="9" max="9" width="13.5546875" bestFit="1" customWidth="1"/>
    <col min="10" max="10" width="18.109375" bestFit="1" customWidth="1"/>
  </cols>
  <sheetData>
    <row r="1" spans="1:19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19" x14ac:dyDescent="0.3">
      <c r="A2" s="2"/>
      <c r="B2" s="2"/>
      <c r="C2" s="2"/>
      <c r="D2" s="2"/>
      <c r="E2" s="2"/>
      <c r="F2" s="2"/>
      <c r="G2" s="2"/>
      <c r="H2" s="2"/>
    </row>
    <row r="3" spans="1:19" x14ac:dyDescent="0.3">
      <c r="J3" s="3"/>
      <c r="K3" s="3"/>
      <c r="R3" s="3"/>
      <c r="S3" s="3"/>
    </row>
    <row r="4" spans="1:19" ht="18" x14ac:dyDescent="0.35">
      <c r="A4" s="21" t="s">
        <v>1</v>
      </c>
      <c r="B4" s="22"/>
      <c r="C4" s="5"/>
      <c r="E4" s="6" t="s">
        <v>2</v>
      </c>
      <c r="F4" s="7"/>
      <c r="G4" s="7"/>
      <c r="H4" s="7"/>
      <c r="I4" s="4"/>
      <c r="M4" s="8" t="s">
        <v>3</v>
      </c>
      <c r="N4" s="8"/>
      <c r="O4" s="8"/>
      <c r="P4" s="8"/>
    </row>
    <row r="6" spans="1:19" x14ac:dyDescent="0.3">
      <c r="A6" s="9">
        <f>COUNTA([1]Data!A2:A1000)</f>
        <v>239</v>
      </c>
      <c r="H6" s="10"/>
      <c r="I6" s="3"/>
    </row>
    <row r="9" spans="1:19" ht="18" x14ac:dyDescent="0.35">
      <c r="A9" s="11" t="s">
        <v>4</v>
      </c>
      <c r="E9" s="12"/>
    </row>
    <row r="11" spans="1:19" x14ac:dyDescent="0.3">
      <c r="A11">
        <f>SUM([1]Data!B2:B1000)</f>
        <v>8030577153</v>
      </c>
      <c r="H11" s="13"/>
      <c r="I11" s="14"/>
    </row>
    <row r="14" spans="1:19" ht="18" x14ac:dyDescent="0.35">
      <c r="A14" s="15" t="s">
        <v>5</v>
      </c>
    </row>
    <row r="16" spans="1:19" x14ac:dyDescent="0.3">
      <c r="A16">
        <f>AVERAGE([1]Data!B2:B1000)</f>
        <v>33600741.22594142</v>
      </c>
    </row>
    <row r="18" spans="1:15" x14ac:dyDescent="0.3">
      <c r="A18" s="5"/>
      <c r="N18" s="5"/>
    </row>
    <row r="23" spans="1:15" x14ac:dyDescent="0.3">
      <c r="A23" s="5"/>
      <c r="E23" s="5"/>
    </row>
    <row r="24" spans="1:15" ht="18" x14ac:dyDescent="0.35">
      <c r="A24" s="16"/>
      <c r="B24" s="8" t="s">
        <v>6</v>
      </c>
      <c r="C24" s="8"/>
      <c r="D24" s="8"/>
      <c r="E24" s="8"/>
      <c r="F24" s="4"/>
      <c r="G24" s="4"/>
      <c r="H24" s="4"/>
      <c r="I24" s="17" t="s">
        <v>7</v>
      </c>
      <c r="J24" s="17"/>
      <c r="O24" s="4"/>
    </row>
    <row r="26" spans="1:15" ht="15.6" x14ac:dyDescent="0.3">
      <c r="I26" s="20" t="s">
        <v>8</v>
      </c>
      <c r="J26" s="18" t="s">
        <v>9</v>
      </c>
    </row>
    <row r="27" spans="1:15" ht="15.6" x14ac:dyDescent="0.3">
      <c r="I27" s="19" t="s">
        <v>10</v>
      </c>
      <c r="J27" s="18">
        <v>1417492000</v>
      </c>
    </row>
    <row r="28" spans="1:15" ht="15.6" x14ac:dyDescent="0.3">
      <c r="I28" s="19" t="s">
        <v>11</v>
      </c>
      <c r="J28" s="18">
        <v>1404890000</v>
      </c>
    </row>
    <row r="29" spans="1:15" ht="15.6" x14ac:dyDescent="0.3">
      <c r="I29" s="19" t="s">
        <v>12</v>
      </c>
      <c r="J29" s="18">
        <v>341784857</v>
      </c>
    </row>
    <row r="30" spans="1:15" ht="15.6" x14ac:dyDescent="0.3">
      <c r="I30" s="19" t="s">
        <v>13</v>
      </c>
      <c r="J30" s="18">
        <v>288315089</v>
      </c>
    </row>
    <row r="31" spans="1:15" ht="15.6" x14ac:dyDescent="0.3">
      <c r="I31" s="19" t="s">
        <v>14</v>
      </c>
      <c r="J31" s="18">
        <v>241499431</v>
      </c>
    </row>
    <row r="32" spans="1:15" ht="15.6" x14ac:dyDescent="0.3">
      <c r="I32" s="19" t="s">
        <v>15</v>
      </c>
      <c r="J32" s="18">
        <v>223800000</v>
      </c>
    </row>
    <row r="33" spans="9:10" ht="15.6" x14ac:dyDescent="0.3">
      <c r="I33" s="19" t="s">
        <v>16</v>
      </c>
      <c r="J33" s="18">
        <v>213421037</v>
      </c>
    </row>
    <row r="34" spans="9:10" ht="15.6" x14ac:dyDescent="0.3">
      <c r="I34" s="19" t="s">
        <v>17</v>
      </c>
      <c r="J34" s="18">
        <v>169828911</v>
      </c>
    </row>
    <row r="35" spans="9:10" ht="15.6" x14ac:dyDescent="0.3">
      <c r="I35" s="19" t="s">
        <v>18</v>
      </c>
      <c r="J35" s="18">
        <v>146028325</v>
      </c>
    </row>
    <row r="36" spans="9:10" ht="15.6" x14ac:dyDescent="0.3">
      <c r="I36" s="19" t="s">
        <v>19</v>
      </c>
      <c r="J36" s="18">
        <v>131150866</v>
      </c>
    </row>
    <row r="37" spans="9:10" ht="15.6" x14ac:dyDescent="0.3">
      <c r="I37" s="19" t="s">
        <v>20</v>
      </c>
      <c r="J37" s="18">
        <v>4578210516</v>
      </c>
    </row>
  </sheetData>
  <mergeCells count="10">
    <mergeCell ref="H11:I11"/>
    <mergeCell ref="B24:E24"/>
    <mergeCell ref="I24:J24"/>
    <mergeCell ref="A4:B4"/>
    <mergeCell ref="A1:H2"/>
    <mergeCell ref="J3:K3"/>
    <mergeCell ref="R3:S3"/>
    <mergeCell ref="E4:H4"/>
    <mergeCell ref="M4:P4"/>
    <mergeCell ref="H6:I6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Bheemarao</dc:creator>
  <cp:lastModifiedBy>Ramesh Bheemarao</cp:lastModifiedBy>
  <dcterms:created xsi:type="dcterms:W3CDTF">2026-07-14T05:08:19Z</dcterms:created>
  <dcterms:modified xsi:type="dcterms:W3CDTF">2026-07-14T05:10:53Z</dcterms:modified>
</cp:coreProperties>
</file>